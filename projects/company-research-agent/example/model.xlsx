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ead Me" sheetId="2" state="visible" r:id="rId4"/>
    <sheet name="Assumptions" sheetId="3" state="visible" r:id="rId5"/>
    <sheet name="Model" sheetId="4" state="visible" r:id="rId6"/>
    <sheet name="Sensitivity" sheetId="5" state="visible" r:id="rId7"/>
    <sheet name="Returns" sheetId="6" state="visible" r:id="rId8"/>
  </sheets>
  <definedNames>
    <definedName function="false" hidden="false" localSheetId="0" name="_xlnm.Print_Area" vbProcedure="false">Cover!$A$1:$B$18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<sst xmlns="http://schemas.openxmlformats.org/spreadsheetml/2006/main" count="361" uniqueCount="272">
  <si>
    <t xml:space="preserve">BEN MEYER</t>
  </si>
  <si>
    <t xml:space="preserve">Cosmic Buildings Inc. — driver model</t>
  </si>
  <si>
    <t xml:space="preserve">Scenario model built from the workup's assumption registry</t>
  </si>
  <si>
    <t xml:space="preserve">As of 2026-09-16</t>
  </si>
  <si>
    <t xml:space="preserve">CONTENTS</t>
  </si>
  <si>
    <t xml:space="preserve">Read Me</t>
  </si>
  <si>
    <t xml:space="preserve">how to drive the model and what the colours mean</t>
  </si>
  <si>
    <t xml:space="preserve">Assumptions</t>
  </si>
  <si>
    <t xml:space="preserve">23 drivers, each with a source and a tier</t>
  </si>
  <si>
    <t xml:space="preserve">Model</t>
  </si>
  <si>
    <t xml:space="preserve">39 line items over 5 periods</t>
  </si>
  <si>
    <t xml:space="preserve">Sensitivity</t>
  </si>
  <si>
    <t xml:space="preserve">every driver ranked by how far it moves the answer</t>
  </si>
  <si>
    <t xml:space="preserve">Returns</t>
  </si>
  <si>
    <t xml:space="preserve">entry price, dilution, preference waterfall, MOIC and IRR</t>
  </si>
  <si>
    <t xml:space="preserve">COLOUR KEY</t>
  </si>
  <si>
    <t xml:space="preserve">Blue</t>
  </si>
  <si>
    <t xml:space="preserve">input or assumption — change these</t>
  </si>
  <si>
    <t xml:space="preserve">Black</t>
  </si>
  <si>
    <t xml:space="preserve">formula — do not overtype</t>
  </si>
  <si>
    <t xml:space="preserve">Green</t>
  </si>
  <si>
    <t xml:space="preserve">link from another sheet</t>
  </si>
  <si>
    <t xml:space="preserve">Public records only · Not investment advice</t>
  </si>
  <si>
    <t xml:space="preserve">Built</t>
  </si>
  <si>
    <t xml:space="preserve">2026-09-16</t>
  </si>
  <si>
    <t xml:space="preserve">Units</t>
  </si>
  <si>
    <t xml:space="preserve">USD</t>
  </si>
  <si>
    <t xml:space="preserve">Periods</t>
  </si>
  <si>
    <t xml:space="preserve">2026E, 2027E, 2028E, 2029E, 2030E</t>
  </si>
  <si>
    <t xml:space="preserve">HOW TO USE</t>
  </si>
  <si>
    <t xml:space="preserve">Scenario</t>
  </si>
  <si>
    <t xml:space="preserve">Assumptions!B3 switches every driver between Bear / Base / Bull at once.</t>
  </si>
  <si>
    <t xml:space="preserve">Edit here</t>
  </si>
  <si>
    <t xml:space="preserve">Only the blue Bear / Base / Bull cells on the Assumptions tab. Everything else is formulas.</t>
  </si>
  <si>
    <t xml:space="preserve">Yellow rows</t>
  </si>
  <si>
    <t xml:space="preserve">Confidence tier 'guess'. Nobody knows these numbers. Attack them first.</t>
  </si>
  <si>
    <t xml:space="preserve">COLOR KEY</t>
  </si>
  <si>
    <t xml:space="preserve">Blue text</t>
  </si>
  <si>
    <t xml:space="preserve">Hardcoded input you can change</t>
  </si>
  <si>
    <t xml:space="preserve">Black text</t>
  </si>
  <si>
    <t xml:space="preserve">Formula referencing this sheet</t>
  </si>
  <si>
    <t xml:space="preserve">Green text</t>
  </si>
  <si>
    <t xml:space="preserve">Formula referencing another sheet</t>
  </si>
  <si>
    <t xml:space="preserve">Yellow fill</t>
  </si>
  <si>
    <t xml:space="preserve">Guess-tier assumption — the diligence agenda</t>
  </si>
  <si>
    <t xml:space="preserve">CONFIDENCE TIERS</t>
  </si>
  <si>
    <t xml:space="preserve">observed</t>
  </si>
  <si>
    <t xml:space="preserve">Stated in a primary document</t>
  </si>
  <si>
    <t xml:space="preserve">inferred</t>
  </si>
  <si>
    <t xml:space="preserve">Derived from observed data, with the reasoning in the note</t>
  </si>
  <si>
    <t xml:space="preserve">analog</t>
  </si>
  <si>
    <t xml:space="preserve">Taken from a named comparable company or benchmark</t>
  </si>
  <si>
    <t xml:space="preserve">guess</t>
  </si>
  <si>
    <t xml:space="preserve">Nobody knows; a defensible number was chosen</t>
  </si>
  <si>
    <t xml:space="preserve">A WARNING</t>
  </si>
  <si>
    <t xml:space="preserve">This model is only as good as its worst load-bearing guess. Check the Sensitivity tab to find out which one that is.</t>
  </si>
  <si>
    <t xml:space="preserve">ASSUMPTIONS &amp; PROVENANCE REGISTRY</t>
  </si>
  <si>
    <t xml:space="preserve">Company:</t>
  </si>
  <si>
    <t xml:space="preserve">Cosmic Buildings Inc.</t>
  </si>
  <si>
    <t xml:space="preserve">Scenario:</t>
  </si>
  <si>
    <t xml:space="preserve">Base</t>
  </si>
  <si>
    <t xml:space="preserve">&lt;- switch here</t>
  </si>
  <si>
    <t xml:space="preserve">ID</t>
  </si>
  <si>
    <t xml:space="preserve">Assumption</t>
  </si>
  <si>
    <t xml:space="preserve">Unit</t>
  </si>
  <si>
    <t xml:space="preserve">Bear</t>
  </si>
  <si>
    <t xml:space="preserve">Bull</t>
  </si>
  <si>
    <t xml:space="preserve">Active</t>
  </si>
  <si>
    <t xml:space="preserve">Confidence</t>
  </si>
  <si>
    <t xml:space="preserve">Source</t>
  </si>
  <si>
    <t xml:space="preserve">Note</t>
  </si>
  <si>
    <t xml:space="preserve">leads_y1</t>
  </si>
  <si>
    <t xml:space="preserve">Design-stage clients, 2026 entry</t>
  </si>
  <si>
    <t xml:space="preserve">clients</t>
  </si>
  <si>
    <t xml:space="preserve">'around 40 clients in various stages of design or permitting' across the Palisades, Malibu and Altadena (Metropolis, 2026-02-27); 48 families in design a year earlier (LA Business Journal, 2025-08-25)</t>
  </si>
  <si>
    <t xml:space="preserve">Design-stage, not contracted. The company also publishes 45 free concept designs, which are offered to anyone and are not clients.</t>
  </si>
  <si>
    <t xml:space="preserve">lead_growth</t>
  </si>
  <si>
    <t xml:space="preserve">Growth in design-stage clients</t>
  </si>
  <si>
    <t xml:space="preserve">%</t>
  </si>
  <si>
    <t xml:space="preserve">None. The two published counts (48 in Aug 2025, ~40 in Feb 2026) went down, not up</t>
  </si>
  <si>
    <t xml:space="preserve">Bear assumes the fire-rebuild surge fades as lots are sold rather than rebuilt; roughly 40% of Palisades lots that sell go to investors.</t>
  </si>
  <si>
    <t xml:space="preserve">lead_to_contract</t>
  </si>
  <si>
    <t xml:space="preserve">Design clients who sign a build contract</t>
  </si>
  <si>
    <t xml:space="preserve">The company's own two figures on the same date: 48 families in design, 12 contracts signed (LA Business Journal, 2025-08-25) = 25%</t>
  </si>
  <si>
    <t xml:space="preserve">The obvious number to chase, and the model says chasing it barely matters: at base margins each delivered home contributes about $39,000 after the field staff it needs, against roughly $3.4M of fixed overhead. Converting more clients into contracts does not fix economics that lose money per home.</t>
  </si>
  <si>
    <t xml:space="preserve">deliveries_y1</t>
  </si>
  <si>
    <t xml:space="preserve">Homes completed, 2026</t>
  </si>
  <si>
    <t xml:space="preserve">homes</t>
  </si>
  <si>
    <t xml:space="preserve">Two ADUs completed as of 2025-10 (Homes.com, reporter on site); one single-family about one third built at 2026-01 (CBS SF); company-stated 20-25 'in the process of building'</t>
  </si>
  <si>
    <t xml:space="preserve">Completions, not starts. Seeds the first year only; from 2027 deliveries follow the prior year's signed contracts.</t>
  </si>
  <si>
    <t xml:space="preserve">adu_share</t>
  </si>
  <si>
    <t xml:space="preserve">Share of deliveries that are ADUs</t>
  </si>
  <si>
    <t xml:space="preserve">The ADU line is the published product (100 units offered from March 2024); the fire rebuilds are custom houses at several times the value</t>
  </si>
  <si>
    <t xml:space="preserve">Bear is ADU-weighted because a backyard unit bills a fraction of a house. Mix is the quiet driver of revenue per delivery.</t>
  </si>
  <si>
    <t xml:space="preserve">adu_price</t>
  </si>
  <si>
    <t xml:space="preserve">Average ADU contract value</t>
  </si>
  <si>
    <t xml:space="preserve">$</t>
  </si>
  <si>
    <t xml:space="preserve">Published list: $279,000 (380 sq ft), $359,000 (570 sq ft), $419,000 (720 sq ft); simple average $352,667</t>
  </si>
  <si>
    <t xml:space="preserve">List, before upgrades, which the press reports at $1,000-$35,000. Bear assumes discounting to move units.</t>
  </si>
  <si>
    <t xml:space="preserve">adu_gm</t>
  </si>
  <si>
    <t xml:space="preserve">Gross margin, ADUs</t>
  </si>
  <si>
    <t xml:space="preserve">No cost data exists for either completed unit</t>
  </si>
  <si>
    <t xml:space="preserve">A repeatable product should out-earn bespoke work once the design is amortised. Nothing published tests that here.</t>
  </si>
  <si>
    <t xml:space="preserve">home_sqft</t>
  </si>
  <si>
    <t xml:space="preserve">Average custom home size</t>
  </si>
  <si>
    <t xml:space="preserve">sq ft</t>
  </si>
  <si>
    <t xml:space="preserve">The company quotes capacity per 2,000 sq ft home and names a 6,000 sq ft pipeline item; Palisades rebuild plans commonly run 1,900-4,600 sq ft</t>
  </si>
  <si>
    <t xml:space="preserve">Bigger houses are better for this model: fixed overhead per job spreads over more billable feet.</t>
  </si>
  <si>
    <t xml:space="preserve">home_psf</t>
  </si>
  <si>
    <t xml:space="preserve">Realised revenue per sq ft, custom</t>
  </si>
  <si>
    <t xml:space="preserve">Company-stated $550-700/sq ft (LA Business Journal; Metropolis); a reporter independently put actual LA projects at $600-700 (Homes.com, 2025-10-29)</t>
  </si>
  <si>
    <t xml:space="preserve">A site-built competitor in the same fire zones publishes $391/sq ft in the Palisades, so the pricing is not the cheap end of the market.</t>
  </si>
  <si>
    <t xml:space="preserve">home_gm</t>
  </si>
  <si>
    <t xml:space="preserve">Gross margin, custom homes</t>
  </si>
  <si>
    <t xml:space="preserve">D.R. Horton FY2025 10-K: revenue $34,250.4M less cost of revenue $26,134.2M = 23.7%</t>
  </si>
  <si>
    <t xml:space="preserve">That peer is the largest US production builder at scale, and its margin includes profit on land it buys and sells. Cosmic never owns the lot, so the peer figure is a ceiling. Bear is the fixed-price-overrun case.</t>
  </si>
  <si>
    <t xml:space="preserve">psf_change</t>
  </si>
  <si>
    <t xml:space="preserve">Annual change in realised pricing</t>
  </si>
  <si>
    <t xml:space="preserve">None</t>
  </si>
  <si>
    <t xml:space="preserve">Headline ADU prices held at $279k/$359k/$419k from 2024 to 2026 while the stated areas shrank (395-&gt;380, 595-&gt;570, 750-&gt;720 sq ft) - a rise per square foot, not a cut.</t>
  </si>
  <si>
    <t xml:space="preserve">cost_us</t>
  </si>
  <si>
    <t xml:space="preserve">Loaded cost per US employee</t>
  </si>
  <si>
    <t xml:space="preserve">San Francisco and Los Angeles loaded cost for senior commercial and construction staff, inclusive of employer taxes and benefits</t>
  </si>
  <si>
    <t xml:space="preserve">Loaded, not salary. The company publishes no compensation data.</t>
  </si>
  <si>
    <t xml:space="preserve">cost_rs</t>
  </si>
  <si>
    <t xml:space="preserve">Loaded cost per Belgrade employee</t>
  </si>
  <si>
    <t xml:space="preserve">Serbian engineering and architecture loaded cost, inclusive of employer contributions</t>
  </si>
  <si>
    <t xml:space="preserve">This is the single most important fact about the burn. The same 30 people in California would cost roughly twice as much and change the survival arithmetic entirely.</t>
  </si>
  <si>
    <t xml:space="preserve">nonpayroll_pct</t>
  </si>
  <si>
    <t xml:space="preserve">Non-payroll opex, as % of payroll</t>
  </si>
  <si>
    <t xml:space="preserve">Typical early-stage operating overhead: premises, software, insurance, marketing, professional fees</t>
  </si>
  <si>
    <t xml:space="preserve">Construction insurance and bonding sit here and are not small for a licensed general contractor.</t>
  </si>
  <si>
    <t xml:space="preserve">wc_days</t>
  </si>
  <si>
    <t xml:space="preserve">Net working capital, days of revenue</t>
  </si>
  <si>
    <t xml:space="preserve">days</t>
  </si>
  <si>
    <t xml:space="preserve">No disclosure. Fixed-price residential contracts pay by milestone draws while materials and subcontractors are paid earlier</t>
  </si>
  <si>
    <t xml:space="preserve">Growth consumes cash here before it produces any. This is the line that most often kills a builder that is profitable on paper.</t>
  </si>
  <si>
    <t xml:space="preserve">homes_per_factory</t>
  </si>
  <si>
    <t xml:space="preserve">Homes framed per microfactory per year</t>
  </si>
  <si>
    <t xml:space="preserve">Company-stated 100 homes per year per microfactory at 2,000 sq ft (LA Business Journal, 2025-08-25). No observed throughput exists anywhere</t>
  </si>
  <si>
    <t xml:space="preserve">Framing is about ten days of a four-to-six month build, so the cell idles unless permits arrive on a steady cadence. Base takes a quarter of the claim.</t>
  </si>
  <si>
    <t xml:space="preserve">factories_added</t>
  </si>
  <si>
    <t xml:space="preserve">Microfactories added per year</t>
  </si>
  <si>
    <t xml:space="preserve">units</t>
  </si>
  <si>
    <t xml:space="preserve">Company-stated intent to add three to four factories across the Palisades and Altadena</t>
  </si>
  <si>
    <t xml:space="preserve">Starts from one cell in service.</t>
  </si>
  <si>
    <t xml:space="preserve">factory_capex</t>
  </si>
  <si>
    <t xml:space="preserve">Cost to field one microfactory</t>
  </si>
  <si>
    <t xml:space="preserve">No figure published. Built around ABB IRB 6710 arms plus the cell, trailer, tooling and integration</t>
  </si>
  <si>
    <t xml:space="preserve">Low against a Katerra-scale plant, which is the whole point of the strategy. Bear assumes integration and spares cost more than the arms.</t>
  </si>
  <si>
    <t xml:space="preserve">cash_start</t>
  </si>
  <si>
    <t xml:space="preserve">Opening cash, 2026</t>
  </si>
  <si>
    <t xml:space="preserve">Only disclosed raise is $1.5M pre-seed, 2024-03-20. No Form D exists on EDGAR. The lead investor's portfolio page shows 'EUR 11M Raised', which nothing corroborates and which sits beside template-looking tiles</t>
  </si>
  <si>
    <t xml:space="preserve">The spread here is the spread in the evidence. Resolving it is the first phone call.</t>
  </si>
  <si>
    <t xml:space="preserve">core_us</t>
  </si>
  <si>
    <t xml:space="preserve">US core team (fixed)</t>
  </si>
  <si>
    <t xml:space="preserve">people</t>
  </si>
  <si>
    <t xml:space="preserve">Named US roles: CEO, co-founder/CRO, COO, head of project development and delivery, plus sales and design leadership</t>
  </si>
  <si>
    <t xml:space="preserve">The part of the US team that exists whether or not a house is being built.</t>
  </si>
  <si>
    <t xml:space="preserve">us_per_home</t>
  </si>
  <si>
    <t xml:space="preserve">US field and PM staff per home delivered</t>
  </si>
  <si>
    <t xml:space="preserve">No disclosure. A residential GC typically runs one project manager or superintendent across a handful of concurrent jobs</t>
  </si>
  <si>
    <t xml:space="preserve">This is what makes the cost base scale with the work, and it tests the company's own claim of cutting site labour by about 60%. Bear is the case where the robot frames faster and changes nothing about how many people it takes to run the job.</t>
  </si>
  <si>
    <t xml:space="preserve">core_rs</t>
  </si>
  <si>
    <t xml:space="preserve">Belgrade core team (fixed)</t>
  </si>
  <si>
    <t xml:space="preserve">Belgrade holds design automation, AI, architecture and robotics engineering; the Serbian entity has been registered since 2023-02-17</t>
  </si>
  <si>
    <t xml:space="preserve">Platform and robotics work that does not scale with client count.</t>
  </si>
  <si>
    <t xml:space="preserve">rs_per_client</t>
  </si>
  <si>
    <t xml:space="preserve">Belgrade design staff per design-stage client</t>
  </si>
  <si>
    <t xml:space="preserve">Derived: 8 core plus 0.30 x 40 design clients reconciles to the 20 Belgrade staff implied by the LinkedIn count less identifiable US roles</t>
  </si>
  <si>
    <t xml:space="preserve">Free concept designs are produced here, so this team carries the cost of work that has not been paid for. Bull assumes the automation genuinely reduces hours per client.</t>
  </si>
  <si>
    <t xml:space="preserve">COSMIC BUILDINGS INC. — OPERATING MODEL</t>
  </si>
  <si>
    <t xml:space="preserve">Units: USD. Scenario driven from Assumptions!B3.</t>
  </si>
  <si>
    <t xml:space="preserve">Line item</t>
  </si>
  <si>
    <t xml:space="preserve">2026E</t>
  </si>
  <si>
    <t xml:space="preserve">2027E</t>
  </si>
  <si>
    <t xml:space="preserve">2028E</t>
  </si>
  <si>
    <t xml:space="preserve">2029E</t>
  </si>
  <si>
    <t xml:space="preserve">2030E</t>
  </si>
  <si>
    <t xml:space="preserve">PIPELINE AND CAPACITY</t>
  </si>
  <si>
    <t xml:space="preserve">Design-stage clients</t>
  </si>
  <si>
    <t xml:space="preserve">Build contracts signed</t>
  </si>
  <si>
    <t xml:space="preserve">Homes ready to deliver</t>
  </si>
  <si>
    <t xml:space="preserve">Microfactories in service</t>
  </si>
  <si>
    <t xml:space="preserve">Framing capacity (homes)</t>
  </si>
  <si>
    <t xml:space="preserve">Homes delivered</t>
  </si>
  <si>
    <t xml:space="preserve">REVENUE BY PRODUCT</t>
  </si>
  <si>
    <t xml:space="preserve">ADUs delivered</t>
  </si>
  <si>
    <t xml:space="preserve">Custom homes delivered</t>
  </si>
  <si>
    <t xml:space="preserve">ADU price</t>
  </si>
  <si>
    <t xml:space="preserve">Custom revenue per sq ft</t>
  </si>
  <si>
    <t xml:space="preserve">ADU revenue</t>
  </si>
  <si>
    <t xml:space="preserve">Custom home revenue</t>
  </si>
  <si>
    <t xml:space="preserve">Total revenue</t>
  </si>
  <si>
    <t xml:space="preserve">GROSS PROFIT</t>
  </si>
  <si>
    <t xml:space="preserve">Gross profit, ADUs</t>
  </si>
  <si>
    <t xml:space="preserve">Gross profit, custom homes</t>
  </si>
  <si>
    <t xml:space="preserve">Gross profit</t>
  </si>
  <si>
    <t xml:space="preserve">Cost of homes delivered</t>
  </si>
  <si>
    <t xml:space="preserve">Blended gross margin</t>
  </si>
  <si>
    <t xml:space="preserve">OPERATING EXPENSE</t>
  </si>
  <si>
    <t xml:space="preserve">US headcount</t>
  </si>
  <si>
    <t xml:space="preserve">Belgrade headcount</t>
  </si>
  <si>
    <t xml:space="preserve">Total headcount</t>
  </si>
  <si>
    <t xml:space="preserve">US payroll</t>
  </si>
  <si>
    <t xml:space="preserve">Belgrade payroll</t>
  </si>
  <si>
    <t xml:space="preserve">Non-payroll overhead</t>
  </si>
  <si>
    <t xml:space="preserve">Total operating expense</t>
  </si>
  <si>
    <t xml:space="preserve">EBITDA</t>
  </si>
  <si>
    <t xml:space="preserve">UNIT ECONOMICS, PER HOME DELIVERED</t>
  </si>
  <si>
    <t xml:space="preserve">Revenue per home</t>
  </si>
  <si>
    <t xml:space="preserve">Gross profit per home</t>
  </si>
  <si>
    <t xml:space="preserve">Operating expense per home</t>
  </si>
  <si>
    <t xml:space="preserve">EBITDA per home</t>
  </si>
  <si>
    <t xml:space="preserve">WORKING CAPITAL, CAPITAL SPEND AND CASH</t>
  </si>
  <si>
    <t xml:space="preserve">Net working capital balance</t>
  </si>
  <si>
    <t xml:space="preserve">Cash absorbed by working capital</t>
  </si>
  <si>
    <t xml:space="preserve">Microfactory capital spend</t>
  </si>
  <si>
    <t xml:space="preserve">Free cash flow</t>
  </si>
  <si>
    <t xml:space="preserve">Opening cash</t>
  </si>
  <si>
    <t xml:space="preserve">Closing cash, before any new raise</t>
  </si>
  <si>
    <t xml:space="preserve">Cumulative capital required</t>
  </si>
  <si>
    <t xml:space="preserve">Average monthly burn</t>
  </si>
  <si>
    <t xml:space="preserve">Runway at year end (months, capped at 120)</t>
  </si>
  <si>
    <t xml:space="preserve">SENSITIVITY &amp; DILIGENCE PRIORITY</t>
  </si>
  <si>
    <t xml:space="preserve">STATIC SNAPSHOT computed when this workbook was built. It does not recalculate. Rebuild the model after changing assumptions.</t>
  </si>
  <si>
    <t xml:space="preserve">IMPACT ON CLOSING CASH, BEFORE ANY NEW RAISE, 2030E</t>
  </si>
  <si>
    <t xml:space="preserve">Each assumption moved bear -&gt; bull alone, all others at base. Sorted by swing.</t>
  </si>
  <si>
    <t xml:space="preserve">At bear</t>
  </si>
  <si>
    <t xml:space="preserve">At base</t>
  </si>
  <si>
    <t xml:space="preserve">At bull</t>
  </si>
  <si>
    <t xml:space="preserve">Swing</t>
  </si>
  <si>
    <t xml:space="preserve">Share of largest</t>
  </si>
  <si>
    <t xml:space="preserve">DILIGENCE PRIORITY</t>
  </si>
  <si>
    <t xml:space="preserve">Highest-leverage guess: US field and PM staff per home delivered. Establishing this number is worth more than refining anything else in the model.</t>
  </si>
  <si>
    <t xml:space="preserve">CLOSING CASH, BEFORE ANY NEW RAISE (2030E): Design clients who sign a build contract vs Gross margin, custom homes</t>
  </si>
  <si>
    <t xml:space="preserve">Design clients who sign a build contract  \  Gross margin, custom homes</t>
  </si>
  <si>
    <t xml:space="preserve">RETURNS — ENTRY, DILUTION, WATERFALL</t>
  </si>
  <si>
    <t xml:space="preserve">Blue cells are inputs. Everything else is a formula. Exit value is driven off the model's terminal year.</t>
  </si>
  <si>
    <t xml:space="preserve">ENTRY</t>
  </si>
  <si>
    <t xml:space="preserve">Pre-money valuation</t>
  </si>
  <si>
    <t xml:space="preserve">What you pay in at</t>
  </si>
  <si>
    <t xml:space="preserve">Investment</t>
  </si>
  <si>
    <t xml:space="preserve">Your cheque</t>
  </si>
  <si>
    <t xml:space="preserve">Post-money valuation</t>
  </si>
  <si>
    <t xml:space="preserve">Entry ownership</t>
  </si>
  <si>
    <t xml:space="preserve">DILUTION TO EXIT</t>
  </si>
  <si>
    <t xml:space="preserve">Dilution per subsequent round</t>
  </si>
  <si>
    <t xml:space="preserve">New money issued at each future round</t>
  </si>
  <si>
    <t xml:space="preserve">Rounds before exit</t>
  </si>
  <si>
    <t xml:space="preserve">How many more times the cap table opens</t>
  </si>
  <si>
    <t xml:space="preserve">Exit ownership</t>
  </si>
  <si>
    <t xml:space="preserve">Ownership at exit is the only ownership that pays. Entry ownership is a number you stop owning immediately.</t>
  </si>
  <si>
    <t xml:space="preserve">EXIT</t>
  </si>
  <si>
    <t xml:space="preserve">Terminal revenue (2030E)</t>
  </si>
  <si>
    <t xml:space="preserve">From the Model sheet, base scenario</t>
  </si>
  <si>
    <t xml:space="preserve">Exit multiple on revenue</t>
  </si>
  <si>
    <t xml:space="preserve">Name the peers this comes from in the workup</t>
  </si>
  <si>
    <t xml:space="preserve">Exit enterprise value</t>
  </si>
  <si>
    <t xml:space="preserve">Years to exit</t>
  </si>
  <si>
    <t xml:space="preserve">WATERFALL</t>
  </si>
  <si>
    <t xml:space="preserve">Liquidation preference multiple</t>
  </si>
  <si>
    <t xml:space="preserve">1.0x non-participating is the common seed case</t>
  </si>
  <si>
    <t xml:space="preserve">Preference amount</t>
  </si>
  <si>
    <t xml:space="preserve">Value if converted to common</t>
  </si>
  <si>
    <t xml:space="preserve">Proceeds to this investment</t>
  </si>
  <si>
    <t xml:space="preserve">Non-participating: the better of the preference or the converted share, never both. Below the crossover the preference is all that protects you.</t>
  </si>
  <si>
    <t xml:space="preserve">RESULT</t>
  </si>
  <si>
    <t xml:space="preserve">Multiple on invested capital</t>
  </si>
  <si>
    <t xml:space="preserve">IRR</t>
  </si>
  <si>
    <t xml:space="preserve">No hurdle set. Put the return this investment has to clear in the spec's returns.hurdle_irr and this sheet will check against it.</t>
  </si>
  <si>
    <t xml:space="preserve">What this does not cover: option pool expansion, pro-rata follow-ons, participation caps, seniority stacks between rounds, secondary sales, and any structure beyond a single preference. It is a first-pass sanity check on the entry price, not a cap table.</t>
  </si>
</sst>
</file>

<file path=xl/styles.xml><?xml version="1.0" encoding="utf-8"?>
<styleSheet xmlns="http://schemas.openxmlformats.org/spreadsheetml/2006/main">
  <numFmts count="5">
    <numFmt numFmtId="164" formatCode="General"/>
    <numFmt numFmtId="165" formatCode="#,##0;\(#,##0\);\-"/>
    <numFmt numFmtId="166" formatCode="0.0%"/>
    <numFmt numFmtId="167" formatCode="\$#,##0;&quot;($&quot;#,##0\);\-"/>
    <numFmt numFmtId="168" formatCode="0.0\x"/>
  </numFmts>
  <fonts count="31">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8"/>
      <color rgb="FF1F3A5F"/>
      <name val="Cambria"/>
      <family val="0"/>
      <charset val="1"/>
    </font>
    <font>
      <i val="true"/>
      <sz val="9"/>
      <color rgb="FF5A5A5A"/>
      <name val="Calibri"/>
      <family val="0"/>
      <charset val="1"/>
    </font>
    <font>
      <sz val="10"/>
      <color rgb="FF5A5A5A"/>
      <name val="Calibri"/>
      <family val="0"/>
      <charset val="1"/>
    </font>
    <font>
      <b val="true"/>
      <sz val="9"/>
      <color rgb="FF5A5A5A"/>
      <name val="Calibri"/>
      <family val="0"/>
      <charset val="1"/>
    </font>
    <font>
      <b val="true"/>
      <sz val="10"/>
      <color rgb="FF1F3A5F"/>
      <name val="Calibri"/>
      <family val="0"/>
      <charset val="1"/>
    </font>
    <font>
      <sz val="10"/>
      <color rgb="FF1A1A1A"/>
      <name val="Calibri"/>
      <family val="0"/>
      <charset val="1"/>
    </font>
    <font>
      <b val="true"/>
      <sz val="10"/>
      <color rgb="FF0000FF"/>
      <name val="Calibri"/>
      <family val="0"/>
      <charset val="1"/>
    </font>
    <font>
      <b val="true"/>
      <sz val="10"/>
      <color rgb="FF000000"/>
      <name val="Calibri"/>
      <family val="0"/>
      <charset val="1"/>
    </font>
    <font>
      <b val="true"/>
      <sz val="10"/>
      <color rgb="FF008000"/>
      <name val="Calibri"/>
      <family val="0"/>
      <charset val="1"/>
    </font>
    <font>
      <b val="true"/>
      <sz val="13"/>
      <color rgb="FF1F3A5F"/>
      <name val="Calibri"/>
      <family val="0"/>
      <charset val="1"/>
    </font>
    <font>
      <sz val="10"/>
      <name val="Calibri"/>
      <family val="0"/>
      <charset val="1"/>
    </font>
    <font>
      <b val="true"/>
      <sz val="10"/>
      <name val="Calibri"/>
      <family val="0"/>
      <charset val="1"/>
    </font>
    <font>
      <b val="true"/>
      <sz val="11"/>
      <color rgb="FF0000FF"/>
      <name val="Calibri"/>
      <family val="0"/>
      <charset val="1"/>
    </font>
    <font>
      <i val="true"/>
      <sz val="9"/>
      <color rgb="FF808080"/>
      <name val="Calibri"/>
      <family val="0"/>
      <charset val="1"/>
    </font>
    <font>
      <b val="true"/>
      <sz val="10"/>
      <color rgb="FFFFFFFF"/>
      <name val="Calibri"/>
      <family val="0"/>
      <charset val="1"/>
    </font>
    <font>
      <sz val="9"/>
      <color rgb="FF808080"/>
      <name val="Calibri"/>
      <family val="0"/>
      <charset val="1"/>
    </font>
    <font>
      <sz val="10"/>
      <color rgb="FF0000FF"/>
      <name val="Calibri"/>
      <family val="0"/>
      <charset val="1"/>
    </font>
    <font>
      <sz val="10"/>
      <color rgb="FF404040"/>
      <name val="Calibri"/>
      <family val="0"/>
      <charset val="1"/>
    </font>
    <font>
      <sz val="9"/>
      <color rgb="FF404040"/>
      <name val="Calibri"/>
      <family val="0"/>
      <charset val="1"/>
    </font>
    <font>
      <b val="true"/>
      <sz val="10"/>
      <color rgb="FFC00000"/>
      <name val="Calibri"/>
      <family val="0"/>
      <charset val="1"/>
    </font>
    <font>
      <sz val="10"/>
      <color rgb="FF008000"/>
      <name val="Calibri"/>
      <family val="0"/>
      <charset val="1"/>
    </font>
    <font>
      <sz val="10"/>
      <color rgb="FF000000"/>
      <name val="Calibri"/>
      <family val="0"/>
      <charset val="1"/>
    </font>
    <font>
      <b val="true"/>
      <i val="true"/>
      <sz val="9"/>
      <color rgb="FFC00000"/>
      <name val="Calibri"/>
      <family val="0"/>
      <charset val="1"/>
    </font>
    <font>
      <i val="true"/>
      <sz val="10"/>
      <name val="Calibri"/>
      <family val="0"/>
      <charset val="1"/>
    </font>
    <font>
      <b val="true"/>
      <sz val="11"/>
      <color rgb="FF1F3A5F"/>
      <name val="Calibri"/>
      <family val="0"/>
      <charset val="1"/>
    </font>
    <font>
      <i val="true"/>
      <sz val="9"/>
      <color rgb="FFC00000"/>
      <name val="Calibri"/>
      <family val="0"/>
      <charset val="1"/>
    </font>
  </fonts>
  <fills count="6">
    <fill>
      <patternFill patternType="none"/>
    </fill>
    <fill>
      <patternFill patternType="gray125"/>
    </fill>
    <fill>
      <patternFill patternType="solid">
        <fgColor rgb="FF1F3A5F"/>
        <bgColor rgb="FF404040"/>
      </patternFill>
    </fill>
    <fill>
      <patternFill patternType="solid">
        <fgColor rgb="FFFFFF00"/>
        <bgColor rgb="FFFFFF00"/>
      </patternFill>
    </fill>
    <fill>
      <patternFill patternType="solid">
        <fgColor rgb="FFF2F2F2"/>
        <bgColor rgb="FFEAF1FB"/>
      </patternFill>
    </fill>
    <fill>
      <patternFill patternType="solid">
        <fgColor rgb="FFEAF1FB"/>
        <bgColor rgb="FFF2F2F2"/>
      </patternFill>
    </fill>
  </fills>
  <borders count="5">
    <border diagonalUp="false" diagonalDown="false">
      <left/>
      <right/>
      <top/>
      <bottom/>
      <diagonal/>
    </border>
    <border diagonalUp="false" diagonalDown="false">
      <left style="medium">
        <color rgb="FF1F3A5F"/>
      </left>
      <right style="medium">
        <color rgb="FF1F3A5F"/>
      </right>
      <top style="medium">
        <color rgb="FF1F3A5F"/>
      </top>
      <bottom style="medium">
        <color rgb="FF1F3A5F"/>
      </bottom>
      <diagonal/>
    </border>
    <border diagonalUp="false" diagonalDown="false">
      <left/>
      <right/>
      <top/>
      <bottom style="thin">
        <color rgb="FFBFBFBF"/>
      </bottom>
      <diagonal/>
    </border>
    <border diagonalUp="false" diagonalDown="false">
      <left/>
      <right/>
      <top style="thin">
        <color rgb="FFBFBFBF"/>
      </top>
      <bottom style="double">
        <color rgb="FF1F3A5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3"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center" vertical="center" textRotation="0" wrapText="tru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5" fontId="21" fillId="0" borderId="2" xfId="0" applyFont="true" applyBorder="true" applyAlignment="false" applyProtection="false">
      <alignment horizontal="general" vertical="bottom" textRotation="0" wrapText="false" indent="0" shrinkToFit="false"/>
      <protection locked="true" hidden="false"/>
    </xf>
    <xf numFmtId="165" fontId="16" fillId="0" borderId="2" xfId="0" applyFont="true" applyBorder="true" applyAlignment="fals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general" vertical="top" textRotation="0" wrapText="true" indent="0" shrinkToFit="false"/>
      <protection locked="true" hidden="false"/>
    </xf>
    <xf numFmtId="166" fontId="21" fillId="3" borderId="2" xfId="0" applyFont="true" applyBorder="true" applyAlignment="false" applyProtection="false">
      <alignment horizontal="general" vertical="bottom" textRotation="0" wrapText="false" indent="0" shrinkToFit="false"/>
      <protection locked="true" hidden="false"/>
    </xf>
    <xf numFmtId="166" fontId="16" fillId="0" borderId="2" xfId="0" applyFont="true" applyBorder="true" applyAlignment="false" applyProtection="false">
      <alignment horizontal="general" vertical="bottom" textRotation="0" wrapText="false" indent="0" shrinkToFit="false"/>
      <protection locked="true" hidden="false"/>
    </xf>
    <xf numFmtId="164" fontId="24" fillId="0" borderId="2" xfId="0" applyFont="true" applyBorder="true" applyAlignment="true" applyProtection="false">
      <alignment horizontal="center" vertical="bottom" textRotation="0" wrapText="false" indent="0" shrinkToFit="false"/>
      <protection locked="true" hidden="false"/>
    </xf>
    <xf numFmtId="166" fontId="21" fillId="0" borderId="2" xfId="0" applyFont="true" applyBorder="true" applyAlignment="false" applyProtection="false">
      <alignment horizontal="general" vertical="bottom" textRotation="0" wrapText="false" indent="0" shrinkToFit="false"/>
      <protection locked="true" hidden="false"/>
    </xf>
    <xf numFmtId="165" fontId="21" fillId="3" borderId="2" xfId="0" applyFont="true" applyBorder="true" applyAlignment="false" applyProtection="false">
      <alignment horizontal="general" vertical="bottom" textRotation="0" wrapText="false" indent="0" shrinkToFit="false"/>
      <protection locked="true" hidden="false"/>
    </xf>
    <xf numFmtId="167" fontId="21" fillId="0" borderId="2" xfId="0" applyFont="true" applyBorder="true" applyAlignment="false" applyProtection="false">
      <alignment horizontal="general" vertical="bottom" textRotation="0" wrapText="false" indent="0" shrinkToFit="false"/>
      <protection locked="true" hidden="false"/>
    </xf>
    <xf numFmtId="167" fontId="16" fillId="0" borderId="2" xfId="0" applyFont="true" applyBorder="true" applyAlignment="false" applyProtection="false">
      <alignment horizontal="general" vertical="bottom" textRotation="0" wrapText="false" indent="0" shrinkToFit="false"/>
      <protection locked="true" hidden="false"/>
    </xf>
    <xf numFmtId="167" fontId="21"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4" fontId="16" fillId="0" borderId="3" xfId="0" applyFont="true" applyBorder="true" applyAlignment="false" applyProtection="false">
      <alignment horizontal="general" vertical="bottom" textRotation="0" wrapText="false" indent="0" shrinkToFit="false"/>
      <protection locked="true" hidden="false"/>
    </xf>
    <xf numFmtId="165" fontId="12" fillId="0" borderId="3"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1" shrinkToFit="false"/>
      <protection locked="true" hidden="false"/>
    </xf>
    <xf numFmtId="167" fontId="25" fillId="0" borderId="0" xfId="0" applyFont="true" applyBorder="false" applyAlignment="false" applyProtection="false">
      <alignment horizontal="general" vertical="bottom" textRotation="0" wrapText="false" indent="0" shrinkToFit="false"/>
      <protection locked="true" hidden="false"/>
    </xf>
    <xf numFmtId="167" fontId="26" fillId="0" borderId="0" xfId="0" applyFont="true" applyBorder="false" applyAlignment="false" applyProtection="false">
      <alignment horizontal="general" vertical="bottom" textRotation="0" wrapText="false" indent="0" shrinkToFit="false"/>
      <protection locked="true" hidden="false"/>
    </xf>
    <xf numFmtId="167" fontId="12" fillId="0" borderId="3" xfId="0" applyFont="true" applyBorder="true" applyAlignment="false" applyProtection="false">
      <alignment horizontal="general" vertical="bottom" textRotation="0" wrapText="false" indent="0" shrinkToFit="false"/>
      <protection locked="true" hidden="false"/>
    </xf>
    <xf numFmtId="166"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5" fillId="3" borderId="2" xfId="0" applyFont="true" applyBorder="true" applyAlignment="false" applyProtection="false">
      <alignment horizontal="general" vertical="bottom" textRotation="0" wrapText="false" indent="0" shrinkToFit="false"/>
      <protection locked="true" hidden="false"/>
    </xf>
    <xf numFmtId="167" fontId="15" fillId="3" borderId="2" xfId="0" applyFont="true" applyBorder="true" applyAlignment="false" applyProtection="false">
      <alignment horizontal="general" vertical="bottom" textRotation="0" wrapText="false" indent="0" shrinkToFit="false"/>
      <protection locked="true" hidden="false"/>
    </xf>
    <xf numFmtId="167" fontId="16" fillId="3" borderId="2" xfId="0" applyFont="true" applyBorder="true" applyAlignment="false" applyProtection="false">
      <alignment horizontal="general" vertical="bottom" textRotation="0" wrapText="false" indent="0" shrinkToFit="false"/>
      <protection locked="true" hidden="false"/>
    </xf>
    <xf numFmtId="166" fontId="16" fillId="3" borderId="2" xfId="0" applyFont="true" applyBorder="true" applyAlignment="false" applyProtection="false">
      <alignment horizontal="general" vertical="bottom" textRotation="0" wrapText="false" indent="0" shrinkToFit="false"/>
      <protection locked="true" hidden="false"/>
    </xf>
    <xf numFmtId="164" fontId="24" fillId="3" borderId="2" xfId="0" applyFont="true" applyBorder="true" applyAlignment="true" applyProtection="false">
      <alignment horizontal="center" vertical="bottom" textRotation="0" wrapText="false" indent="0" shrinkToFit="false"/>
      <protection locked="true" hidden="false"/>
    </xf>
    <xf numFmtId="167" fontId="15" fillId="0" borderId="2" xfId="0" applyFont="tru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6" fontId="19" fillId="2" borderId="0" xfId="0" applyFont="true" applyBorder="false" applyAlignment="true" applyProtection="false">
      <alignment horizontal="center" vertical="center" textRotation="0" wrapText="true" indent="0" shrinkToFit="false"/>
      <protection locked="true" hidden="false"/>
    </xf>
    <xf numFmtId="166" fontId="16" fillId="4" borderId="0" xfId="0" applyFont="true" applyBorder="false" applyAlignment="false" applyProtection="false">
      <alignment horizontal="general" vertical="bottom" textRotation="0" wrapText="false" indent="0" shrinkToFit="false"/>
      <protection locked="true" hidden="false"/>
    </xf>
    <xf numFmtId="167" fontId="15" fillId="0" borderId="4" xfId="0" applyFont="true" applyBorder="true" applyAlignment="false" applyProtection="false">
      <alignment horizontal="general" vertical="bottom" textRotation="0" wrapText="false" indent="0" shrinkToFit="false"/>
      <protection locked="true" hidden="false"/>
    </xf>
    <xf numFmtId="167" fontId="21" fillId="5"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21" fillId="5" borderId="0" xfId="0" applyFont="true" applyBorder="false" applyAlignment="false" applyProtection="false">
      <alignment horizontal="general" vertical="bottom" textRotation="0" wrapText="false" indent="0" shrinkToFit="false"/>
      <protection locked="true" hidden="false"/>
    </xf>
    <xf numFmtId="165" fontId="21" fillId="5"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8" fontId="21" fillId="5"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7" fontId="29" fillId="0" borderId="0" xfId="0" applyFont="true" applyBorder="false" applyAlignment="false" applyProtection="false">
      <alignment horizontal="general" vertical="bottom" textRotation="0" wrapText="false" indent="0" shrinkToFit="false"/>
      <protection locked="true" hidden="false"/>
    </xf>
    <xf numFmtId="168" fontId="29"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AF1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A5A"/>
      <rgbColor rgb="FF969696"/>
      <rgbColor rgb="FF1F3A5F"/>
      <rgbColor rgb="FF339966"/>
      <rgbColor rgb="FF003300"/>
      <rgbColor rgb="FF1A1A1A"/>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62"/>
  </cols>
  <sheetData>
    <row r="1" customFormat="false" ht="25.5" hidden="false" customHeight="true" outlineLevel="0" collapsed="false">
      <c r="A1" s="1" t="s">
        <v>0</v>
      </c>
      <c r="B1" s="2"/>
    </row>
    <row r="2" customFormat="false" ht="22.05" hidden="false" customHeight="false" outlineLevel="0" collapsed="false">
      <c r="A2" s="3" t="s">
        <v>1</v>
      </c>
      <c r="B2" s="3"/>
    </row>
    <row r="3" customFormat="false" ht="15" hidden="false" customHeight="false" outlineLevel="0" collapsed="false">
      <c r="A3" s="4" t="s">
        <v>2</v>
      </c>
      <c r="B3" s="5"/>
    </row>
    <row r="4" customFormat="false" ht="15" hidden="false" customHeight="false" outlineLevel="0" collapsed="false">
      <c r="A4" s="6" t="s">
        <v>3</v>
      </c>
      <c r="B4" s="5"/>
    </row>
    <row r="5" customFormat="false" ht="15" hidden="false" customHeight="false" outlineLevel="0" collapsed="false">
      <c r="A5" s="7"/>
      <c r="B5" s="5"/>
    </row>
    <row r="6" customFormat="false" ht="15" hidden="false" customHeight="false" outlineLevel="0" collapsed="false">
      <c r="A6" s="8" t="s">
        <v>4</v>
      </c>
      <c r="B6" s="5"/>
    </row>
    <row r="7" customFormat="false" ht="15" hidden="false" customHeight="false" outlineLevel="0" collapsed="false">
      <c r="A7" s="9" t="s">
        <v>5</v>
      </c>
      <c r="B7" s="10" t="s">
        <v>6</v>
      </c>
    </row>
    <row r="8" customFormat="false" ht="15" hidden="false" customHeight="false" outlineLevel="0" collapsed="false">
      <c r="A8" s="9" t="s">
        <v>7</v>
      </c>
      <c r="B8" s="10" t="s">
        <v>8</v>
      </c>
    </row>
    <row r="9" customFormat="false" ht="15" hidden="false" customHeight="false" outlineLevel="0" collapsed="false">
      <c r="A9" s="9" t="s">
        <v>9</v>
      </c>
      <c r="B9" s="10" t="s">
        <v>10</v>
      </c>
    </row>
    <row r="10" customFormat="false" ht="15" hidden="false" customHeight="false" outlineLevel="0" collapsed="false">
      <c r="A10" s="9" t="s">
        <v>11</v>
      </c>
      <c r="B10" s="10" t="s">
        <v>12</v>
      </c>
    </row>
    <row r="11" customFormat="false" ht="15" hidden="false" customHeight="false" outlineLevel="0" collapsed="false">
      <c r="A11" s="9" t="s">
        <v>13</v>
      </c>
      <c r="B11" s="10" t="s">
        <v>14</v>
      </c>
    </row>
    <row r="12" customFormat="false" ht="15" hidden="false" customHeight="false" outlineLevel="0" collapsed="false">
      <c r="A12" s="7"/>
      <c r="B12" s="5"/>
    </row>
    <row r="13" customFormat="false" ht="15" hidden="false" customHeight="false" outlineLevel="0" collapsed="false">
      <c r="A13" s="8" t="s">
        <v>15</v>
      </c>
      <c r="B13" s="5"/>
    </row>
    <row r="14" customFormat="false" ht="15" hidden="false" customHeight="false" outlineLevel="0" collapsed="false">
      <c r="A14" s="11" t="s">
        <v>16</v>
      </c>
      <c r="B14" s="10" t="s">
        <v>17</v>
      </c>
    </row>
    <row r="15" customFormat="false" ht="15" hidden="false" customHeight="false" outlineLevel="0" collapsed="false">
      <c r="A15" s="12" t="s">
        <v>18</v>
      </c>
      <c r="B15" s="10" t="s">
        <v>19</v>
      </c>
    </row>
    <row r="16" customFormat="false" ht="15" hidden="false" customHeight="false" outlineLevel="0" collapsed="false">
      <c r="A16" s="13" t="s">
        <v>20</v>
      </c>
      <c r="B16" s="10" t="s">
        <v>21</v>
      </c>
    </row>
    <row r="17" customFormat="false" ht="15" hidden="false" customHeight="false" outlineLevel="0" collapsed="false">
      <c r="A17" s="7"/>
      <c r="B17" s="5"/>
    </row>
    <row r="18" customFormat="false" ht="15" hidden="false" customHeight="false" outlineLevel="0" collapsed="false">
      <c r="A18" s="4" t="s">
        <v>22</v>
      </c>
      <c r="B18" s="5"/>
    </row>
  </sheetData>
  <mergeCells count="1">
    <mergeCell ref="A2:B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6"/>
  </cols>
  <sheetData>
    <row r="1" customFormat="false" ht="16.15" hidden="false" customHeight="false" outlineLevel="0" collapsed="false">
      <c r="A1" s="14" t="s">
        <v>1</v>
      </c>
    </row>
    <row r="2" customFormat="false" ht="15" hidden="false" customHeight="false" outlineLevel="0" collapsed="false">
      <c r="A2" s="15"/>
      <c r="B2" s="16"/>
    </row>
    <row r="3" customFormat="false" ht="15" hidden="false" customHeight="false" outlineLevel="0" collapsed="false">
      <c r="A3" s="15" t="s">
        <v>23</v>
      </c>
      <c r="B3" s="16" t="s">
        <v>24</v>
      </c>
    </row>
    <row r="4" customFormat="false" ht="15" hidden="false" customHeight="false" outlineLevel="0" collapsed="false">
      <c r="A4" s="15" t="s">
        <v>25</v>
      </c>
      <c r="B4" s="16" t="s">
        <v>26</v>
      </c>
    </row>
    <row r="5" customFormat="false" ht="15" hidden="false" customHeight="false" outlineLevel="0" collapsed="false">
      <c r="A5" s="15" t="s">
        <v>27</v>
      </c>
      <c r="B5" s="16" t="s">
        <v>28</v>
      </c>
    </row>
    <row r="6" customFormat="false" ht="15" hidden="false" customHeight="false" outlineLevel="0" collapsed="false">
      <c r="A6" s="15"/>
      <c r="B6" s="16"/>
    </row>
    <row r="7" customFormat="false" ht="15" hidden="false" customHeight="false" outlineLevel="0" collapsed="false">
      <c r="A7" s="17" t="s">
        <v>29</v>
      </c>
      <c r="B7" s="16"/>
    </row>
    <row r="8" customFormat="false" ht="15" hidden="false" customHeight="false" outlineLevel="0" collapsed="false">
      <c r="A8" s="15" t="s">
        <v>30</v>
      </c>
      <c r="B8" s="16" t="s">
        <v>31</v>
      </c>
    </row>
    <row r="9" customFormat="false" ht="15" hidden="false" customHeight="false" outlineLevel="0" collapsed="false">
      <c r="A9" s="15" t="s">
        <v>32</v>
      </c>
      <c r="B9" s="16" t="s">
        <v>33</v>
      </c>
    </row>
    <row r="10" customFormat="false" ht="15" hidden="false" customHeight="false" outlineLevel="0" collapsed="false">
      <c r="A10" s="15" t="s">
        <v>34</v>
      </c>
      <c r="B10" s="16" t="s">
        <v>35</v>
      </c>
    </row>
    <row r="11" customFormat="false" ht="15" hidden="false" customHeight="false" outlineLevel="0" collapsed="false">
      <c r="A11" s="15"/>
      <c r="B11" s="16"/>
    </row>
    <row r="12" customFormat="false" ht="15" hidden="false" customHeight="false" outlineLevel="0" collapsed="false">
      <c r="A12" s="17" t="s">
        <v>36</v>
      </c>
      <c r="B12" s="16"/>
    </row>
    <row r="13" customFormat="false" ht="15" hidden="false" customHeight="false" outlineLevel="0" collapsed="false">
      <c r="A13" s="15" t="s">
        <v>37</v>
      </c>
      <c r="B13" s="16" t="s">
        <v>38</v>
      </c>
    </row>
    <row r="14" customFormat="false" ht="15" hidden="false" customHeight="false" outlineLevel="0" collapsed="false">
      <c r="A14" s="15" t="s">
        <v>39</v>
      </c>
      <c r="B14" s="16" t="s">
        <v>40</v>
      </c>
    </row>
    <row r="15" customFormat="false" ht="15" hidden="false" customHeight="false" outlineLevel="0" collapsed="false">
      <c r="A15" s="15" t="s">
        <v>41</v>
      </c>
      <c r="B15" s="16" t="s">
        <v>42</v>
      </c>
    </row>
    <row r="16" customFormat="false" ht="15" hidden="false" customHeight="false" outlineLevel="0" collapsed="false">
      <c r="A16" s="15" t="s">
        <v>43</v>
      </c>
      <c r="B16" s="16" t="s">
        <v>44</v>
      </c>
    </row>
    <row r="17" customFormat="false" ht="15" hidden="false" customHeight="false" outlineLevel="0" collapsed="false">
      <c r="A17" s="15"/>
      <c r="B17" s="16"/>
    </row>
    <row r="18" customFormat="false" ht="15" hidden="false" customHeight="false" outlineLevel="0" collapsed="false">
      <c r="A18" s="17" t="s">
        <v>45</v>
      </c>
      <c r="B18" s="16"/>
    </row>
    <row r="19" customFormat="false" ht="15" hidden="false" customHeight="false" outlineLevel="0" collapsed="false">
      <c r="A19" s="15" t="s">
        <v>46</v>
      </c>
      <c r="B19" s="16" t="s">
        <v>47</v>
      </c>
    </row>
    <row r="20" customFormat="false" ht="15" hidden="false" customHeight="false" outlineLevel="0" collapsed="false">
      <c r="A20" s="15" t="s">
        <v>48</v>
      </c>
      <c r="B20" s="16" t="s">
        <v>49</v>
      </c>
    </row>
    <row r="21" customFormat="false" ht="15" hidden="false" customHeight="false" outlineLevel="0" collapsed="false">
      <c r="A21" s="15" t="s">
        <v>50</v>
      </c>
      <c r="B21" s="16" t="s">
        <v>51</v>
      </c>
    </row>
    <row r="22" customFormat="false" ht="15" hidden="false" customHeight="false" outlineLevel="0" collapsed="false">
      <c r="A22" s="15" t="s">
        <v>52</v>
      </c>
      <c r="B22" s="16" t="s">
        <v>53</v>
      </c>
    </row>
    <row r="23" customFormat="false" ht="15" hidden="false" customHeight="false" outlineLevel="0" collapsed="false">
      <c r="A23" s="15"/>
      <c r="B23" s="16"/>
    </row>
    <row r="24" customFormat="false" ht="15" hidden="false" customHeight="false" outlineLevel="0" collapsed="false">
      <c r="A24" s="15" t="s">
        <v>54</v>
      </c>
      <c r="B24" s="16" t="s">
        <v>55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10"/>
    <col collapsed="false" customWidth="true" hidden="false" outlineLevel="0" max="7" min="4" style="0" width="14"/>
    <col collapsed="false" customWidth="true" hidden="false" outlineLevel="0" max="8" min="8" style="0" width="13"/>
    <col collapsed="false" customWidth="true" hidden="false" outlineLevel="0" max="10" min="9" style="0" width="46"/>
  </cols>
  <sheetData>
    <row r="1" customFormat="false" ht="16.15" hidden="false" customHeight="false" outlineLevel="0" collapsed="false">
      <c r="A1" s="14" t="s">
        <v>56</v>
      </c>
    </row>
    <row r="2" customFormat="false" ht="15" hidden="false" customHeight="false" outlineLevel="0" collapsed="false">
      <c r="A2" s="18" t="s">
        <v>57</v>
      </c>
      <c r="B2" s="15" t="s">
        <v>58</v>
      </c>
    </row>
    <row r="3" customFormat="false" ht="15" hidden="false" customHeight="false" outlineLevel="0" collapsed="false">
      <c r="A3" s="18" t="s">
        <v>59</v>
      </c>
      <c r="B3" s="19" t="s">
        <v>60</v>
      </c>
      <c r="C3" s="20" t="s">
        <v>61</v>
      </c>
    </row>
    <row r="5" customFormat="false" ht="15" hidden="false" customHeight="false" outlineLevel="0" collapsed="false">
      <c r="A5" s="21" t="s">
        <v>62</v>
      </c>
      <c r="B5" s="21" t="s">
        <v>63</v>
      </c>
      <c r="C5" s="21" t="s">
        <v>64</v>
      </c>
      <c r="D5" s="21" t="s">
        <v>65</v>
      </c>
      <c r="E5" s="21" t="s">
        <v>60</v>
      </c>
      <c r="F5" s="21" t="s">
        <v>66</v>
      </c>
      <c r="G5" s="21" t="s">
        <v>67</v>
      </c>
      <c r="H5" s="21" t="s">
        <v>68</v>
      </c>
      <c r="I5" s="21" t="s">
        <v>69</v>
      </c>
      <c r="J5" s="21" t="s">
        <v>70</v>
      </c>
    </row>
    <row r="6" customFormat="false" ht="28.35" hidden="false" customHeight="false" outlineLevel="0" collapsed="false">
      <c r="A6" s="22" t="s">
        <v>71</v>
      </c>
      <c r="B6" s="23" t="s">
        <v>72</v>
      </c>
      <c r="C6" s="23" t="s">
        <v>73</v>
      </c>
      <c r="D6" s="24" t="n">
        <v>25</v>
      </c>
      <c r="E6" s="24" t="n">
        <v>40</v>
      </c>
      <c r="F6" s="24" t="n">
        <v>55</v>
      </c>
      <c r="G6" s="25" t="n">
        <f aca="false">INDEX($D6:$F6,MATCH($B$3,$D$5:$F$5,0))</f>
        <v>40</v>
      </c>
      <c r="H6" s="26" t="s">
        <v>48</v>
      </c>
      <c r="I6" s="27" t="s">
        <v>74</v>
      </c>
      <c r="J6" s="27" t="s">
        <v>75</v>
      </c>
    </row>
    <row r="7" customFormat="false" ht="19.4" hidden="false" customHeight="false" outlineLevel="0" collapsed="false">
      <c r="A7" s="22" t="s">
        <v>76</v>
      </c>
      <c r="B7" s="23" t="s">
        <v>77</v>
      </c>
      <c r="C7" s="23" t="s">
        <v>78</v>
      </c>
      <c r="D7" s="28" t="n">
        <v>-0.1</v>
      </c>
      <c r="E7" s="28" t="n">
        <v>0.2</v>
      </c>
      <c r="F7" s="28" t="n">
        <v>0.35</v>
      </c>
      <c r="G7" s="29" t="n">
        <f aca="false">INDEX($D7:$F7,MATCH($B$3,$D$5:$F$5,0))</f>
        <v>0.2</v>
      </c>
      <c r="H7" s="30" t="s">
        <v>52</v>
      </c>
      <c r="I7" s="27" t="s">
        <v>79</v>
      </c>
      <c r="J7" s="27" t="s">
        <v>80</v>
      </c>
    </row>
    <row r="8" customFormat="false" ht="46.25" hidden="false" customHeight="false" outlineLevel="0" collapsed="false">
      <c r="A8" s="22" t="s">
        <v>81</v>
      </c>
      <c r="B8" s="23" t="s">
        <v>82</v>
      </c>
      <c r="C8" s="23" t="s">
        <v>78</v>
      </c>
      <c r="D8" s="31" t="n">
        <v>0.12</v>
      </c>
      <c r="E8" s="31" t="n">
        <v>0.25</v>
      </c>
      <c r="F8" s="31" t="n">
        <v>0.4</v>
      </c>
      <c r="G8" s="29" t="n">
        <f aca="false">INDEX($D8:$F8,MATCH($B$3,$D$5:$F$5,0))</f>
        <v>0.25</v>
      </c>
      <c r="H8" s="26" t="s">
        <v>48</v>
      </c>
      <c r="I8" s="27" t="s">
        <v>83</v>
      </c>
      <c r="J8" s="27" t="s">
        <v>84</v>
      </c>
    </row>
    <row r="9" customFormat="false" ht="28.35" hidden="false" customHeight="false" outlineLevel="0" collapsed="false">
      <c r="A9" s="22" t="s">
        <v>85</v>
      </c>
      <c r="B9" s="23" t="s">
        <v>86</v>
      </c>
      <c r="C9" s="23" t="s">
        <v>87</v>
      </c>
      <c r="D9" s="32" t="n">
        <v>3</v>
      </c>
      <c r="E9" s="32" t="n">
        <v>6</v>
      </c>
      <c r="F9" s="32" t="n">
        <v>12</v>
      </c>
      <c r="G9" s="25" t="n">
        <f aca="false">INDEX($D9:$F9,MATCH($B$3,$D$5:$F$5,0))</f>
        <v>6</v>
      </c>
      <c r="H9" s="30" t="s">
        <v>52</v>
      </c>
      <c r="I9" s="27" t="s">
        <v>88</v>
      </c>
      <c r="J9" s="27" t="s">
        <v>89</v>
      </c>
    </row>
    <row r="10" customFormat="false" ht="28.35" hidden="false" customHeight="false" outlineLevel="0" collapsed="false">
      <c r="A10" s="22" t="s">
        <v>90</v>
      </c>
      <c r="B10" s="23" t="s">
        <v>91</v>
      </c>
      <c r="C10" s="23" t="s">
        <v>78</v>
      </c>
      <c r="D10" s="28" t="n">
        <v>0.7</v>
      </c>
      <c r="E10" s="28" t="n">
        <v>0.45</v>
      </c>
      <c r="F10" s="28" t="n">
        <v>0.25</v>
      </c>
      <c r="G10" s="29" t="n">
        <f aca="false">INDEX($D10:$F10,MATCH($B$3,$D$5:$F$5,0))</f>
        <v>0.45</v>
      </c>
      <c r="H10" s="30" t="s">
        <v>52</v>
      </c>
      <c r="I10" s="27" t="s">
        <v>92</v>
      </c>
      <c r="J10" s="27" t="s">
        <v>93</v>
      </c>
    </row>
    <row r="11" customFormat="false" ht="19.4" hidden="false" customHeight="false" outlineLevel="0" collapsed="false">
      <c r="A11" s="22" t="s">
        <v>94</v>
      </c>
      <c r="B11" s="23" t="s">
        <v>95</v>
      </c>
      <c r="C11" s="23" t="s">
        <v>96</v>
      </c>
      <c r="D11" s="33" t="n">
        <v>300000</v>
      </c>
      <c r="E11" s="33" t="n">
        <v>350000</v>
      </c>
      <c r="F11" s="33" t="n">
        <v>400000</v>
      </c>
      <c r="G11" s="34" t="n">
        <f aca="false">INDEX($D11:$F11,MATCH($B$3,$D$5:$F$5,0))</f>
        <v>350000</v>
      </c>
      <c r="H11" s="26" t="s">
        <v>48</v>
      </c>
      <c r="I11" s="27" t="s">
        <v>97</v>
      </c>
      <c r="J11" s="27" t="s">
        <v>98</v>
      </c>
    </row>
    <row r="12" customFormat="false" ht="19.4" hidden="false" customHeight="false" outlineLevel="0" collapsed="false">
      <c r="A12" s="22" t="s">
        <v>99</v>
      </c>
      <c r="B12" s="23" t="s">
        <v>100</v>
      </c>
      <c r="C12" s="23" t="s">
        <v>78</v>
      </c>
      <c r="D12" s="28" t="n">
        <v>0.05</v>
      </c>
      <c r="E12" s="28" t="n">
        <v>0.18</v>
      </c>
      <c r="F12" s="28" t="n">
        <v>0.28</v>
      </c>
      <c r="G12" s="29" t="n">
        <f aca="false">INDEX($D12:$F12,MATCH($B$3,$D$5:$F$5,0))</f>
        <v>0.18</v>
      </c>
      <c r="H12" s="30" t="s">
        <v>52</v>
      </c>
      <c r="I12" s="27" t="s">
        <v>101</v>
      </c>
      <c r="J12" s="27" t="s">
        <v>102</v>
      </c>
    </row>
    <row r="13" customFormat="false" ht="28.35" hidden="false" customHeight="false" outlineLevel="0" collapsed="false">
      <c r="A13" s="22" t="s">
        <v>103</v>
      </c>
      <c r="B13" s="23" t="s">
        <v>104</v>
      </c>
      <c r="C13" s="23" t="s">
        <v>105</v>
      </c>
      <c r="D13" s="24" t="n">
        <v>1800</v>
      </c>
      <c r="E13" s="24" t="n">
        <v>2200</v>
      </c>
      <c r="F13" s="24" t="n">
        <v>2800</v>
      </c>
      <c r="G13" s="25" t="n">
        <f aca="false">INDEX($D13:$F13,MATCH($B$3,$D$5:$F$5,0))</f>
        <v>2200</v>
      </c>
      <c r="H13" s="26" t="s">
        <v>48</v>
      </c>
      <c r="I13" s="27" t="s">
        <v>106</v>
      </c>
      <c r="J13" s="27" t="s">
        <v>107</v>
      </c>
    </row>
    <row r="14" customFormat="false" ht="28.35" hidden="false" customHeight="false" outlineLevel="0" collapsed="false">
      <c r="A14" s="22" t="s">
        <v>108</v>
      </c>
      <c r="B14" s="23" t="s">
        <v>109</v>
      </c>
      <c r="C14" s="23" t="s">
        <v>96</v>
      </c>
      <c r="D14" s="33" t="n">
        <v>560</v>
      </c>
      <c r="E14" s="33" t="n">
        <v>640</v>
      </c>
      <c r="F14" s="33" t="n">
        <v>700</v>
      </c>
      <c r="G14" s="34" t="n">
        <f aca="false">INDEX($D14:$F14,MATCH($B$3,$D$5:$F$5,0))</f>
        <v>640</v>
      </c>
      <c r="H14" s="26" t="s">
        <v>48</v>
      </c>
      <c r="I14" s="27" t="s">
        <v>110</v>
      </c>
      <c r="J14" s="27" t="s">
        <v>111</v>
      </c>
    </row>
    <row r="15" customFormat="false" ht="37.3" hidden="false" customHeight="false" outlineLevel="0" collapsed="false">
      <c r="A15" s="22" t="s">
        <v>112</v>
      </c>
      <c r="B15" s="23" t="s">
        <v>113</v>
      </c>
      <c r="C15" s="23" t="s">
        <v>78</v>
      </c>
      <c r="D15" s="31" t="n">
        <v>0.06</v>
      </c>
      <c r="E15" s="31" t="n">
        <v>0.16</v>
      </c>
      <c r="F15" s="31" t="n">
        <v>0.24</v>
      </c>
      <c r="G15" s="29" t="n">
        <f aca="false">INDEX($D15:$F15,MATCH($B$3,$D$5:$F$5,0))</f>
        <v>0.16</v>
      </c>
      <c r="H15" s="26" t="s">
        <v>50</v>
      </c>
      <c r="I15" s="27" t="s">
        <v>114</v>
      </c>
      <c r="J15" s="27" t="s">
        <v>115</v>
      </c>
    </row>
    <row r="16" customFormat="false" ht="28.35" hidden="false" customHeight="false" outlineLevel="0" collapsed="false">
      <c r="A16" s="22" t="s">
        <v>116</v>
      </c>
      <c r="B16" s="23" t="s">
        <v>117</v>
      </c>
      <c r="C16" s="23" t="s">
        <v>78</v>
      </c>
      <c r="D16" s="28" t="n">
        <v>-0.06</v>
      </c>
      <c r="E16" s="28" t="n">
        <v>-0.02</v>
      </c>
      <c r="F16" s="28" t="n">
        <v>0.02</v>
      </c>
      <c r="G16" s="29" t="n">
        <f aca="false">INDEX($D16:$F16,MATCH($B$3,$D$5:$F$5,0))</f>
        <v>-0.02</v>
      </c>
      <c r="H16" s="30" t="s">
        <v>52</v>
      </c>
      <c r="I16" s="27" t="s">
        <v>118</v>
      </c>
      <c r="J16" s="27" t="s">
        <v>119</v>
      </c>
    </row>
    <row r="17" customFormat="false" ht="19.4" hidden="false" customHeight="false" outlineLevel="0" collapsed="false">
      <c r="A17" s="22" t="s">
        <v>120</v>
      </c>
      <c r="B17" s="23" t="s">
        <v>121</v>
      </c>
      <c r="C17" s="23" t="s">
        <v>96</v>
      </c>
      <c r="D17" s="33" t="n">
        <v>205000</v>
      </c>
      <c r="E17" s="33" t="n">
        <v>185000</v>
      </c>
      <c r="F17" s="33" t="n">
        <v>165000</v>
      </c>
      <c r="G17" s="34" t="n">
        <f aca="false">INDEX($D17:$F17,MATCH($B$3,$D$5:$F$5,0))</f>
        <v>185000</v>
      </c>
      <c r="H17" s="26" t="s">
        <v>50</v>
      </c>
      <c r="I17" s="27" t="s">
        <v>122</v>
      </c>
      <c r="J17" s="27" t="s">
        <v>123</v>
      </c>
    </row>
    <row r="18" customFormat="false" ht="28.35" hidden="false" customHeight="false" outlineLevel="0" collapsed="false">
      <c r="A18" s="22" t="s">
        <v>124</v>
      </c>
      <c r="B18" s="23" t="s">
        <v>125</v>
      </c>
      <c r="C18" s="23" t="s">
        <v>96</v>
      </c>
      <c r="D18" s="33" t="n">
        <v>55000</v>
      </c>
      <c r="E18" s="33" t="n">
        <v>45000</v>
      </c>
      <c r="F18" s="33" t="n">
        <v>38000</v>
      </c>
      <c r="G18" s="34" t="n">
        <f aca="false">INDEX($D18:$F18,MATCH($B$3,$D$5:$F$5,0))</f>
        <v>45000</v>
      </c>
      <c r="H18" s="26" t="s">
        <v>50</v>
      </c>
      <c r="I18" s="27" t="s">
        <v>126</v>
      </c>
      <c r="J18" s="27" t="s">
        <v>127</v>
      </c>
    </row>
    <row r="19" customFormat="false" ht="19.4" hidden="false" customHeight="false" outlineLevel="0" collapsed="false">
      <c r="A19" s="22" t="s">
        <v>128</v>
      </c>
      <c r="B19" s="23" t="s">
        <v>129</v>
      </c>
      <c r="C19" s="23" t="s">
        <v>78</v>
      </c>
      <c r="D19" s="31" t="n">
        <v>0.3</v>
      </c>
      <c r="E19" s="31" t="n">
        <v>0.22</v>
      </c>
      <c r="F19" s="31" t="n">
        <v>0.15</v>
      </c>
      <c r="G19" s="29" t="n">
        <f aca="false">INDEX($D19:$F19,MATCH($B$3,$D$5:$F$5,0))</f>
        <v>0.22</v>
      </c>
      <c r="H19" s="26" t="s">
        <v>50</v>
      </c>
      <c r="I19" s="27" t="s">
        <v>130</v>
      </c>
      <c r="J19" s="27" t="s">
        <v>131</v>
      </c>
    </row>
    <row r="20" customFormat="false" ht="19.4" hidden="false" customHeight="false" outlineLevel="0" collapsed="false">
      <c r="A20" s="22" t="s">
        <v>132</v>
      </c>
      <c r="B20" s="23" t="s">
        <v>133</v>
      </c>
      <c r="C20" s="23" t="s">
        <v>134</v>
      </c>
      <c r="D20" s="32" t="n">
        <v>75</v>
      </c>
      <c r="E20" s="32" t="n">
        <v>45</v>
      </c>
      <c r="F20" s="32" t="n">
        <v>20</v>
      </c>
      <c r="G20" s="25" t="n">
        <f aca="false">INDEX($D20:$F20,MATCH($B$3,$D$5:$F$5,0))</f>
        <v>45</v>
      </c>
      <c r="H20" s="30" t="s">
        <v>52</v>
      </c>
      <c r="I20" s="27" t="s">
        <v>135</v>
      </c>
      <c r="J20" s="27" t="s">
        <v>136</v>
      </c>
    </row>
    <row r="21" customFormat="false" ht="28.35" hidden="false" customHeight="false" outlineLevel="0" collapsed="false">
      <c r="A21" s="22" t="s">
        <v>137</v>
      </c>
      <c r="B21" s="23" t="s">
        <v>138</v>
      </c>
      <c r="C21" s="23" t="s">
        <v>87</v>
      </c>
      <c r="D21" s="32" t="n">
        <v>10</v>
      </c>
      <c r="E21" s="32" t="n">
        <v>25</v>
      </c>
      <c r="F21" s="32" t="n">
        <v>50</v>
      </c>
      <c r="G21" s="25" t="n">
        <f aca="false">INDEX($D21:$F21,MATCH($B$3,$D$5:$F$5,0))</f>
        <v>25</v>
      </c>
      <c r="H21" s="30" t="s">
        <v>52</v>
      </c>
      <c r="I21" s="27" t="s">
        <v>139</v>
      </c>
      <c r="J21" s="27" t="s">
        <v>140</v>
      </c>
    </row>
    <row r="22" customFormat="false" ht="19.4" hidden="false" customHeight="false" outlineLevel="0" collapsed="false">
      <c r="A22" s="22" t="s">
        <v>141</v>
      </c>
      <c r="B22" s="23" t="s">
        <v>142</v>
      </c>
      <c r="C22" s="23" t="s">
        <v>143</v>
      </c>
      <c r="D22" s="32" t="n">
        <v>0</v>
      </c>
      <c r="E22" s="32" t="n">
        <v>1</v>
      </c>
      <c r="F22" s="32" t="n">
        <v>2</v>
      </c>
      <c r="G22" s="25" t="n">
        <f aca="false">INDEX($D22:$F22,MATCH($B$3,$D$5:$F$5,0))</f>
        <v>1</v>
      </c>
      <c r="H22" s="30" t="s">
        <v>52</v>
      </c>
      <c r="I22" s="27" t="s">
        <v>144</v>
      </c>
      <c r="J22" s="27" t="s">
        <v>145</v>
      </c>
    </row>
    <row r="23" customFormat="false" ht="28.35" hidden="false" customHeight="false" outlineLevel="0" collapsed="false">
      <c r="A23" s="22" t="s">
        <v>146</v>
      </c>
      <c r="B23" s="23" t="s">
        <v>147</v>
      </c>
      <c r="C23" s="23" t="s">
        <v>96</v>
      </c>
      <c r="D23" s="35" t="n">
        <v>700000</v>
      </c>
      <c r="E23" s="35" t="n">
        <v>450000</v>
      </c>
      <c r="F23" s="35" t="n">
        <v>300000</v>
      </c>
      <c r="G23" s="34" t="n">
        <f aca="false">INDEX($D23:$F23,MATCH($B$3,$D$5:$F$5,0))</f>
        <v>450000</v>
      </c>
      <c r="H23" s="30" t="s">
        <v>52</v>
      </c>
      <c r="I23" s="27" t="s">
        <v>148</v>
      </c>
      <c r="J23" s="27" t="s">
        <v>149</v>
      </c>
    </row>
    <row r="24" customFormat="false" ht="37.3" hidden="false" customHeight="false" outlineLevel="0" collapsed="false">
      <c r="A24" s="22" t="s">
        <v>150</v>
      </c>
      <c r="B24" s="23" t="s">
        <v>151</v>
      </c>
      <c r="C24" s="23" t="s">
        <v>96</v>
      </c>
      <c r="D24" s="35" t="n">
        <v>1500000</v>
      </c>
      <c r="E24" s="35" t="n">
        <v>4000000</v>
      </c>
      <c r="F24" s="35" t="n">
        <v>9000000</v>
      </c>
      <c r="G24" s="34" t="n">
        <f aca="false">INDEX($D24:$F24,MATCH($B$3,$D$5:$F$5,0))</f>
        <v>4000000</v>
      </c>
      <c r="H24" s="30" t="s">
        <v>52</v>
      </c>
      <c r="I24" s="27" t="s">
        <v>152</v>
      </c>
      <c r="J24" s="27" t="s">
        <v>153</v>
      </c>
    </row>
    <row r="25" customFormat="false" ht="19.4" hidden="false" customHeight="false" outlineLevel="0" collapsed="false">
      <c r="A25" s="22" t="s">
        <v>154</v>
      </c>
      <c r="B25" s="23" t="s">
        <v>155</v>
      </c>
      <c r="C25" s="23" t="s">
        <v>156</v>
      </c>
      <c r="D25" s="24" t="n">
        <v>9</v>
      </c>
      <c r="E25" s="24" t="n">
        <v>7</v>
      </c>
      <c r="F25" s="24" t="n">
        <v>5</v>
      </c>
      <c r="G25" s="25" t="n">
        <f aca="false">INDEX($D25:$F25,MATCH($B$3,$D$5:$F$5,0))</f>
        <v>7</v>
      </c>
      <c r="H25" s="26" t="s">
        <v>48</v>
      </c>
      <c r="I25" s="27" t="s">
        <v>157</v>
      </c>
      <c r="J25" s="27" t="s">
        <v>158</v>
      </c>
    </row>
    <row r="26" customFormat="false" ht="37.3" hidden="false" customHeight="false" outlineLevel="0" collapsed="false">
      <c r="A26" s="22" t="s">
        <v>159</v>
      </c>
      <c r="B26" s="23" t="s">
        <v>160</v>
      </c>
      <c r="C26" s="23" t="s">
        <v>156</v>
      </c>
      <c r="D26" s="32" t="n">
        <v>0.9</v>
      </c>
      <c r="E26" s="32" t="n">
        <v>0.5</v>
      </c>
      <c r="F26" s="32" t="n">
        <v>0.3</v>
      </c>
      <c r="G26" s="25" t="n">
        <f aca="false">INDEX($D26:$F26,MATCH($B$3,$D$5:$F$5,0))</f>
        <v>0.5</v>
      </c>
      <c r="H26" s="30" t="s">
        <v>52</v>
      </c>
      <c r="I26" s="27" t="s">
        <v>161</v>
      </c>
      <c r="J26" s="27" t="s">
        <v>162</v>
      </c>
    </row>
    <row r="27" customFormat="false" ht="28.35" hidden="false" customHeight="false" outlineLevel="0" collapsed="false">
      <c r="A27" s="22" t="s">
        <v>163</v>
      </c>
      <c r="B27" s="23" t="s">
        <v>164</v>
      </c>
      <c r="C27" s="23" t="s">
        <v>156</v>
      </c>
      <c r="D27" s="24" t="n">
        <v>10</v>
      </c>
      <c r="E27" s="24" t="n">
        <v>8</v>
      </c>
      <c r="F27" s="24" t="n">
        <v>6</v>
      </c>
      <c r="G27" s="25" t="n">
        <f aca="false">INDEX($D27:$F27,MATCH($B$3,$D$5:$F$5,0))</f>
        <v>8</v>
      </c>
      <c r="H27" s="26" t="s">
        <v>48</v>
      </c>
      <c r="I27" s="27" t="s">
        <v>165</v>
      </c>
      <c r="J27" s="27" t="s">
        <v>166</v>
      </c>
    </row>
    <row r="28" customFormat="false" ht="28.35" hidden="false" customHeight="false" outlineLevel="0" collapsed="false">
      <c r="A28" s="22" t="s">
        <v>167</v>
      </c>
      <c r="B28" s="23" t="s">
        <v>168</v>
      </c>
      <c r="C28" s="23" t="s">
        <v>156</v>
      </c>
      <c r="D28" s="24" t="n">
        <v>0.45</v>
      </c>
      <c r="E28" s="24" t="n">
        <v>0.3</v>
      </c>
      <c r="F28" s="24" t="n">
        <v>0.2</v>
      </c>
      <c r="G28" s="25" t="n">
        <f aca="false">INDEX($D28:$F28,MATCH($B$3,$D$5:$F$5,0))</f>
        <v>0.3</v>
      </c>
      <c r="H28" s="26" t="s">
        <v>48</v>
      </c>
      <c r="I28" s="27" t="s">
        <v>169</v>
      </c>
      <c r="J28" s="27" t="s">
        <v>170</v>
      </c>
    </row>
  </sheetData>
  <dataValidations count="1">
    <dataValidation allowBlank="false" errorStyle="stop" operator="between" showDropDown="false" showErrorMessage="false" showInputMessage="false" sqref="B3" type="list">
      <formula1>"Bear,Base,Bull"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6" min="2" style="0" width="15"/>
  </cols>
  <sheetData>
    <row r="1" customFormat="false" ht="16.15" hidden="false" customHeight="false" outlineLevel="0" collapsed="false">
      <c r="A1" s="14" t="s">
        <v>171</v>
      </c>
    </row>
    <row r="2" customFormat="false" ht="15" hidden="false" customHeight="false" outlineLevel="0" collapsed="false">
      <c r="A2" s="20" t="s">
        <v>172</v>
      </c>
    </row>
    <row r="4" customFormat="false" ht="15" hidden="false" customHeight="false" outlineLevel="0" collapsed="false">
      <c r="A4" s="18" t="s">
        <v>59</v>
      </c>
      <c r="B4" s="36" t="str">
        <f aca="false">Assumptions!$B$3</f>
        <v>Base</v>
      </c>
    </row>
    <row r="6" customFormat="false" ht="15" hidden="false" customHeight="false" outlineLevel="0" collapsed="false">
      <c r="A6" s="21" t="s">
        <v>173</v>
      </c>
      <c r="B6" s="21" t="s">
        <v>174</v>
      </c>
      <c r="C6" s="21" t="s">
        <v>175</v>
      </c>
      <c r="D6" s="21" t="s">
        <v>176</v>
      </c>
      <c r="E6" s="21" t="s">
        <v>177</v>
      </c>
      <c r="F6" s="21" t="s">
        <v>178</v>
      </c>
    </row>
    <row r="7" customFormat="false" ht="15" hidden="false" customHeight="false" outlineLevel="0" collapsed="false">
      <c r="A7" s="37" t="s">
        <v>179</v>
      </c>
      <c r="B7" s="38"/>
      <c r="C7" s="38"/>
      <c r="D7" s="38"/>
      <c r="E7" s="38"/>
      <c r="F7" s="38"/>
    </row>
    <row r="8" customFormat="false" ht="15" hidden="false" customHeight="false" outlineLevel="0" collapsed="false">
      <c r="A8" s="15" t="s">
        <v>180</v>
      </c>
      <c r="B8" s="39" t="n">
        <f aca="false">Assumptions!$G$6</f>
        <v>40</v>
      </c>
      <c r="C8" s="39" t="n">
        <f aca="false">B8*(1+Assumptions!$G$7)</f>
        <v>48</v>
      </c>
      <c r="D8" s="39" t="n">
        <f aca="false">C8*(1+Assumptions!$G$7)</f>
        <v>57.6</v>
      </c>
      <c r="E8" s="39" t="n">
        <f aca="false">D8*(1+Assumptions!$G$7)</f>
        <v>69.12</v>
      </c>
      <c r="F8" s="39" t="n">
        <f aca="false">E8*(1+Assumptions!$G$7)</f>
        <v>82.944</v>
      </c>
    </row>
    <row r="9" customFormat="false" ht="15" hidden="false" customHeight="false" outlineLevel="0" collapsed="false">
      <c r="A9" s="15" t="s">
        <v>181</v>
      </c>
      <c r="B9" s="39" t="n">
        <f aca="false">B8*Assumptions!$G$8</f>
        <v>10</v>
      </c>
      <c r="C9" s="39" t="n">
        <f aca="false">C8*Assumptions!$G$8</f>
        <v>12</v>
      </c>
      <c r="D9" s="39" t="n">
        <f aca="false">D8*Assumptions!$G$8</f>
        <v>14.4</v>
      </c>
      <c r="E9" s="39" t="n">
        <f aca="false">E8*Assumptions!$G$8</f>
        <v>17.28</v>
      </c>
      <c r="F9" s="39" t="n">
        <f aca="false">F8*Assumptions!$G$8</f>
        <v>20.736</v>
      </c>
    </row>
    <row r="10" customFormat="false" ht="15" hidden="false" customHeight="false" outlineLevel="0" collapsed="false">
      <c r="A10" s="15" t="s">
        <v>182</v>
      </c>
      <c r="B10" s="39" t="n">
        <f aca="false">Assumptions!$G$9</f>
        <v>6</v>
      </c>
      <c r="C10" s="40" t="n">
        <f aca="false">B9</f>
        <v>10</v>
      </c>
      <c r="D10" s="40" t="n">
        <f aca="false">C9</f>
        <v>12</v>
      </c>
      <c r="E10" s="40" t="n">
        <f aca="false">D9</f>
        <v>14.4</v>
      </c>
      <c r="F10" s="40" t="n">
        <f aca="false">E9</f>
        <v>17.28</v>
      </c>
    </row>
    <row r="11" customFormat="false" ht="15" hidden="false" customHeight="false" outlineLevel="0" collapsed="false">
      <c r="A11" s="15" t="s">
        <v>183</v>
      </c>
      <c r="B11" s="40" t="n">
        <f aca="false">1</f>
        <v>1</v>
      </c>
      <c r="C11" s="39" t="n">
        <f aca="false">B11+Assumptions!$G$22</f>
        <v>2</v>
      </c>
      <c r="D11" s="39" t="n">
        <f aca="false">C11+Assumptions!$G$22</f>
        <v>3</v>
      </c>
      <c r="E11" s="39" t="n">
        <f aca="false">D11+Assumptions!$G$22</f>
        <v>4</v>
      </c>
      <c r="F11" s="39" t="n">
        <f aca="false">E11+Assumptions!$G$22</f>
        <v>5</v>
      </c>
    </row>
    <row r="12" customFormat="false" ht="15" hidden="false" customHeight="false" outlineLevel="0" collapsed="false">
      <c r="A12" s="15" t="s">
        <v>184</v>
      </c>
      <c r="B12" s="39" t="n">
        <f aca="false">B11*Assumptions!$G$21</f>
        <v>25</v>
      </c>
      <c r="C12" s="39" t="n">
        <f aca="false">C11*Assumptions!$G$21</f>
        <v>50</v>
      </c>
      <c r="D12" s="39" t="n">
        <f aca="false">D11*Assumptions!$G$21</f>
        <v>75</v>
      </c>
      <c r="E12" s="39" t="n">
        <f aca="false">E11*Assumptions!$G$21</f>
        <v>100</v>
      </c>
      <c r="F12" s="39" t="n">
        <f aca="false">F11*Assumptions!$G$21</f>
        <v>125</v>
      </c>
    </row>
    <row r="13" customFormat="false" ht="15" hidden="false" customHeight="false" outlineLevel="0" collapsed="false">
      <c r="A13" s="41" t="s">
        <v>185</v>
      </c>
      <c r="B13" s="42" t="n">
        <f aca="false">MIN(B10,B12)</f>
        <v>6</v>
      </c>
      <c r="C13" s="42" t="n">
        <f aca="false">MIN(C10,C12)</f>
        <v>10</v>
      </c>
      <c r="D13" s="42" t="n">
        <f aca="false">MIN(D10,D12)</f>
        <v>12</v>
      </c>
      <c r="E13" s="42" t="n">
        <f aca="false">MIN(E10,E12)</f>
        <v>14.4</v>
      </c>
      <c r="F13" s="42" t="n">
        <f aca="false">MIN(F10,F12)</f>
        <v>17.28</v>
      </c>
    </row>
    <row r="14" customFormat="false" ht="15" hidden="false" customHeight="false" outlineLevel="0" collapsed="false">
      <c r="A14" s="37" t="s">
        <v>186</v>
      </c>
      <c r="B14" s="38"/>
      <c r="C14" s="38"/>
      <c r="D14" s="38"/>
      <c r="E14" s="38"/>
      <c r="F14" s="38"/>
    </row>
    <row r="15" customFormat="false" ht="15" hidden="false" customHeight="false" outlineLevel="0" collapsed="false">
      <c r="A15" s="43" t="s">
        <v>187</v>
      </c>
      <c r="B15" s="39" t="n">
        <f aca="false">B13*Assumptions!$G$10</f>
        <v>2.7</v>
      </c>
      <c r="C15" s="39" t="n">
        <f aca="false">C13*Assumptions!$G$10</f>
        <v>4.5</v>
      </c>
      <c r="D15" s="39" t="n">
        <f aca="false">D13*Assumptions!$G$10</f>
        <v>5.4</v>
      </c>
      <c r="E15" s="39" t="n">
        <f aca="false">E13*Assumptions!$G$10</f>
        <v>6.48</v>
      </c>
      <c r="F15" s="39" t="n">
        <f aca="false">F13*Assumptions!$G$10</f>
        <v>7.776</v>
      </c>
    </row>
    <row r="16" customFormat="false" ht="15" hidden="false" customHeight="false" outlineLevel="0" collapsed="false">
      <c r="A16" s="43" t="s">
        <v>188</v>
      </c>
      <c r="B16" s="39" t="n">
        <f aca="false">B13*(1-Assumptions!$G$10)</f>
        <v>3.3</v>
      </c>
      <c r="C16" s="39" t="n">
        <f aca="false">C13*(1-Assumptions!$G$10)</f>
        <v>5.5</v>
      </c>
      <c r="D16" s="39" t="n">
        <f aca="false">D13*(1-Assumptions!$G$10)</f>
        <v>6.6</v>
      </c>
      <c r="E16" s="39" t="n">
        <f aca="false">E13*(1-Assumptions!$G$10)</f>
        <v>7.92</v>
      </c>
      <c r="F16" s="39" t="n">
        <f aca="false">F13*(1-Assumptions!$G$10)</f>
        <v>9.504</v>
      </c>
    </row>
    <row r="17" customFormat="false" ht="15" hidden="false" customHeight="false" outlineLevel="0" collapsed="false">
      <c r="A17" s="43" t="s">
        <v>189</v>
      </c>
      <c r="B17" s="44" t="n">
        <f aca="false">Assumptions!$G$11</f>
        <v>350000</v>
      </c>
      <c r="C17" s="44" t="n">
        <f aca="false">B17*(1+Assumptions!$G$16)</f>
        <v>343000</v>
      </c>
      <c r="D17" s="44" t="n">
        <f aca="false">C17*(1+Assumptions!$G$16)</f>
        <v>336140</v>
      </c>
      <c r="E17" s="44" t="n">
        <f aca="false">D17*(1+Assumptions!$G$16)</f>
        <v>329417.2</v>
      </c>
      <c r="F17" s="44" t="n">
        <f aca="false">E17*(1+Assumptions!$G$16)</f>
        <v>322828.856</v>
      </c>
    </row>
    <row r="18" customFormat="false" ht="15" hidden="false" customHeight="false" outlineLevel="0" collapsed="false">
      <c r="A18" s="43" t="s">
        <v>190</v>
      </c>
      <c r="B18" s="44" t="n">
        <f aca="false">Assumptions!$G$14</f>
        <v>640</v>
      </c>
      <c r="C18" s="44" t="n">
        <f aca="false">B18*(1+Assumptions!$G$16)</f>
        <v>627.2</v>
      </c>
      <c r="D18" s="44" t="n">
        <f aca="false">C18*(1+Assumptions!$G$16)</f>
        <v>614.656</v>
      </c>
      <c r="E18" s="44" t="n">
        <f aca="false">D18*(1+Assumptions!$G$16)</f>
        <v>602.36288</v>
      </c>
      <c r="F18" s="44" t="n">
        <f aca="false">E18*(1+Assumptions!$G$16)</f>
        <v>590.3156224</v>
      </c>
    </row>
    <row r="19" customFormat="false" ht="15" hidden="false" customHeight="false" outlineLevel="0" collapsed="false">
      <c r="A19" s="15" t="s">
        <v>191</v>
      </c>
      <c r="B19" s="45" t="n">
        <f aca="false">B15*B17</f>
        <v>945000</v>
      </c>
      <c r="C19" s="45" t="n">
        <f aca="false">C15*C17</f>
        <v>1543500</v>
      </c>
      <c r="D19" s="45" t="n">
        <f aca="false">D15*D17</f>
        <v>1815156</v>
      </c>
      <c r="E19" s="45" t="n">
        <f aca="false">E15*E17</f>
        <v>2134623.456</v>
      </c>
      <c r="F19" s="45" t="n">
        <f aca="false">F15*F17</f>
        <v>2510317.184256</v>
      </c>
    </row>
    <row r="20" customFormat="false" ht="15" hidden="false" customHeight="false" outlineLevel="0" collapsed="false">
      <c r="A20" s="15" t="s">
        <v>192</v>
      </c>
      <c r="B20" s="44" t="n">
        <f aca="false">B16*Assumptions!$G$13*B18</f>
        <v>4646400</v>
      </c>
      <c r="C20" s="44" t="n">
        <f aca="false">C16*Assumptions!$G$13*C18</f>
        <v>7589120</v>
      </c>
      <c r="D20" s="44" t="n">
        <f aca="false">D16*Assumptions!$G$13*D18</f>
        <v>8924805.12</v>
      </c>
      <c r="E20" s="44" t="n">
        <f aca="false">E16*Assumptions!$G$13*E18</f>
        <v>10495570.82112</v>
      </c>
      <c r="F20" s="44" t="n">
        <f aca="false">F16*Assumptions!$G$13*F18</f>
        <v>12342791.2856371</v>
      </c>
    </row>
    <row r="21" customFormat="false" ht="15" hidden="false" customHeight="false" outlineLevel="0" collapsed="false">
      <c r="A21" s="41" t="s">
        <v>193</v>
      </c>
      <c r="B21" s="46" t="n">
        <f aca="false">B19+B20</f>
        <v>5591400</v>
      </c>
      <c r="C21" s="46" t="n">
        <f aca="false">C19+C20</f>
        <v>9132620</v>
      </c>
      <c r="D21" s="46" t="n">
        <f aca="false">D19+D20</f>
        <v>10739961.12</v>
      </c>
      <c r="E21" s="46" t="n">
        <f aca="false">E19+E20</f>
        <v>12630194.27712</v>
      </c>
      <c r="F21" s="46" t="n">
        <f aca="false">F19+F20</f>
        <v>14853108.4698931</v>
      </c>
    </row>
    <row r="22" customFormat="false" ht="15" hidden="false" customHeight="false" outlineLevel="0" collapsed="false">
      <c r="A22" s="37" t="s">
        <v>194</v>
      </c>
      <c r="B22" s="38"/>
      <c r="C22" s="38"/>
      <c r="D22" s="38"/>
      <c r="E22" s="38"/>
      <c r="F22" s="38"/>
    </row>
    <row r="23" customFormat="false" ht="15" hidden="false" customHeight="false" outlineLevel="0" collapsed="false">
      <c r="A23" s="43" t="s">
        <v>195</v>
      </c>
      <c r="B23" s="44" t="n">
        <f aca="false">B19*Assumptions!$G$12</f>
        <v>170100</v>
      </c>
      <c r="C23" s="44" t="n">
        <f aca="false">C19*Assumptions!$G$12</f>
        <v>277830</v>
      </c>
      <c r="D23" s="44" t="n">
        <f aca="false">D19*Assumptions!$G$12</f>
        <v>326728.08</v>
      </c>
      <c r="E23" s="44" t="n">
        <f aca="false">E19*Assumptions!$G$12</f>
        <v>384232.22208</v>
      </c>
      <c r="F23" s="44" t="n">
        <f aca="false">F19*Assumptions!$G$12</f>
        <v>451857.09316608</v>
      </c>
    </row>
    <row r="24" customFormat="false" ht="15" hidden="false" customHeight="false" outlineLevel="0" collapsed="false">
      <c r="A24" s="43" t="s">
        <v>196</v>
      </c>
      <c r="B24" s="44" t="n">
        <f aca="false">B20*Assumptions!$G$15</f>
        <v>743424</v>
      </c>
      <c r="C24" s="44" t="n">
        <f aca="false">C20*Assumptions!$G$15</f>
        <v>1214259.2</v>
      </c>
      <c r="D24" s="44" t="n">
        <f aca="false">D20*Assumptions!$G$15</f>
        <v>1427968.8192</v>
      </c>
      <c r="E24" s="44" t="n">
        <f aca="false">E20*Assumptions!$G$15</f>
        <v>1679291.3313792</v>
      </c>
      <c r="F24" s="44" t="n">
        <f aca="false">F20*Assumptions!$G$15</f>
        <v>1974846.60570194</v>
      </c>
    </row>
    <row r="25" customFormat="false" ht="15" hidden="false" customHeight="false" outlineLevel="0" collapsed="false">
      <c r="A25" s="41" t="s">
        <v>197</v>
      </c>
      <c r="B25" s="46" t="n">
        <f aca="false">B23+B24</f>
        <v>913524</v>
      </c>
      <c r="C25" s="46" t="n">
        <f aca="false">C23+C24</f>
        <v>1492089.2</v>
      </c>
      <c r="D25" s="46" t="n">
        <f aca="false">D23+D24</f>
        <v>1754696.8992</v>
      </c>
      <c r="E25" s="46" t="n">
        <f aca="false">E23+E24</f>
        <v>2063523.5534592</v>
      </c>
      <c r="F25" s="46" t="n">
        <f aca="false">F23+F24</f>
        <v>2426703.69886802</v>
      </c>
    </row>
    <row r="26" customFormat="false" ht="15" hidden="false" customHeight="false" outlineLevel="0" collapsed="false">
      <c r="A26" s="15" t="s">
        <v>198</v>
      </c>
      <c r="B26" s="45" t="n">
        <f aca="false">B21-B25</f>
        <v>4677876</v>
      </c>
      <c r="C26" s="45" t="n">
        <f aca="false">C21-C25</f>
        <v>7640530.8</v>
      </c>
      <c r="D26" s="45" t="n">
        <f aca="false">D21-D25</f>
        <v>8985264.2208</v>
      </c>
      <c r="E26" s="45" t="n">
        <f aca="false">E21-E25</f>
        <v>10566670.7236608</v>
      </c>
      <c r="F26" s="45" t="n">
        <f aca="false">F21-F25</f>
        <v>12426404.7710251</v>
      </c>
    </row>
    <row r="27" customFormat="false" ht="15" hidden="false" customHeight="false" outlineLevel="0" collapsed="false">
      <c r="A27" s="15" t="s">
        <v>199</v>
      </c>
      <c r="B27" s="47" t="n">
        <f aca="false">B25/B21</f>
        <v>0.163380191007619</v>
      </c>
      <c r="C27" s="47" t="n">
        <f aca="false">C25/C21</f>
        <v>0.163380191007619</v>
      </c>
      <c r="D27" s="47" t="n">
        <f aca="false">D25/D21</f>
        <v>0.163380191007619</v>
      </c>
      <c r="E27" s="47" t="n">
        <f aca="false">E25/E21</f>
        <v>0.163380191007619</v>
      </c>
      <c r="F27" s="47" t="n">
        <f aca="false">F25/F21</f>
        <v>0.163380191007619</v>
      </c>
    </row>
    <row r="28" customFormat="false" ht="15" hidden="false" customHeight="false" outlineLevel="0" collapsed="false">
      <c r="A28" s="37" t="s">
        <v>200</v>
      </c>
      <c r="B28" s="38"/>
      <c r="C28" s="38"/>
      <c r="D28" s="38"/>
      <c r="E28" s="38"/>
      <c r="F28" s="38"/>
    </row>
    <row r="29" customFormat="false" ht="15" hidden="false" customHeight="false" outlineLevel="0" collapsed="false">
      <c r="A29" s="43" t="s">
        <v>201</v>
      </c>
      <c r="B29" s="39" t="n">
        <f aca="false">Assumptions!$G$25+B13*Assumptions!$G$26</f>
        <v>10</v>
      </c>
      <c r="C29" s="39" t="n">
        <f aca="false">Assumptions!$G$25+C13*Assumptions!$G$26</f>
        <v>12</v>
      </c>
      <c r="D29" s="39" t="n">
        <f aca="false">Assumptions!$G$25+D13*Assumptions!$G$26</f>
        <v>13</v>
      </c>
      <c r="E29" s="39" t="n">
        <f aca="false">Assumptions!$G$25+E13*Assumptions!$G$26</f>
        <v>14.2</v>
      </c>
      <c r="F29" s="39" t="n">
        <f aca="false">Assumptions!$G$25+F13*Assumptions!$G$26</f>
        <v>15.64</v>
      </c>
    </row>
    <row r="30" customFormat="false" ht="15" hidden="false" customHeight="false" outlineLevel="0" collapsed="false">
      <c r="A30" s="43" t="s">
        <v>202</v>
      </c>
      <c r="B30" s="39" t="n">
        <f aca="false">Assumptions!$G$27+B8*Assumptions!$G$28</f>
        <v>20</v>
      </c>
      <c r="C30" s="39" t="n">
        <f aca="false">Assumptions!$G$27+C8*Assumptions!$G$28</f>
        <v>22.4</v>
      </c>
      <c r="D30" s="39" t="n">
        <f aca="false">Assumptions!$G$27+D8*Assumptions!$G$28</f>
        <v>25.28</v>
      </c>
      <c r="E30" s="39" t="n">
        <f aca="false">Assumptions!$G$27+E8*Assumptions!$G$28</f>
        <v>28.736</v>
      </c>
      <c r="F30" s="39" t="n">
        <f aca="false">Assumptions!$G$27+F8*Assumptions!$G$28</f>
        <v>32.8832</v>
      </c>
    </row>
    <row r="31" customFormat="false" ht="15" hidden="false" customHeight="false" outlineLevel="0" collapsed="false">
      <c r="A31" s="41" t="s">
        <v>203</v>
      </c>
      <c r="B31" s="42" t="n">
        <f aca="false">B29+B30</f>
        <v>30</v>
      </c>
      <c r="C31" s="42" t="n">
        <f aca="false">C29+C30</f>
        <v>34.4</v>
      </c>
      <c r="D31" s="42" t="n">
        <f aca="false">D29+D30</f>
        <v>38.28</v>
      </c>
      <c r="E31" s="42" t="n">
        <f aca="false">E29+E30</f>
        <v>42.936</v>
      </c>
      <c r="F31" s="42" t="n">
        <f aca="false">F29+F30</f>
        <v>48.5232</v>
      </c>
    </row>
    <row r="32" customFormat="false" ht="15" hidden="false" customHeight="false" outlineLevel="0" collapsed="false">
      <c r="A32" s="43" t="s">
        <v>204</v>
      </c>
      <c r="B32" s="44" t="n">
        <f aca="false">B29*Assumptions!$G$17</f>
        <v>1850000</v>
      </c>
      <c r="C32" s="44" t="n">
        <f aca="false">C29*Assumptions!$G$17</f>
        <v>2220000</v>
      </c>
      <c r="D32" s="44" t="n">
        <f aca="false">D29*Assumptions!$G$17</f>
        <v>2405000</v>
      </c>
      <c r="E32" s="44" t="n">
        <f aca="false">E29*Assumptions!$G$17</f>
        <v>2627000</v>
      </c>
      <c r="F32" s="44" t="n">
        <f aca="false">F29*Assumptions!$G$17</f>
        <v>2893400</v>
      </c>
    </row>
    <row r="33" customFormat="false" ht="15" hidden="false" customHeight="false" outlineLevel="0" collapsed="false">
      <c r="A33" s="43" t="s">
        <v>205</v>
      </c>
      <c r="B33" s="44" t="n">
        <f aca="false">B30*Assumptions!$G$18</f>
        <v>900000</v>
      </c>
      <c r="C33" s="44" t="n">
        <f aca="false">C30*Assumptions!$G$18</f>
        <v>1008000</v>
      </c>
      <c r="D33" s="44" t="n">
        <f aca="false">D30*Assumptions!$G$18</f>
        <v>1137600</v>
      </c>
      <c r="E33" s="44" t="n">
        <f aca="false">E30*Assumptions!$G$18</f>
        <v>1293120</v>
      </c>
      <c r="F33" s="44" t="n">
        <f aca="false">F30*Assumptions!$G$18</f>
        <v>1479744</v>
      </c>
    </row>
    <row r="34" customFormat="false" ht="15" hidden="false" customHeight="false" outlineLevel="0" collapsed="false">
      <c r="A34" s="43" t="s">
        <v>206</v>
      </c>
      <c r="B34" s="44" t="n">
        <f aca="false">(B32+B33)*Assumptions!$G$19</f>
        <v>605000</v>
      </c>
      <c r="C34" s="44" t="n">
        <f aca="false">(C32+C33)*Assumptions!$G$19</f>
        <v>710160</v>
      </c>
      <c r="D34" s="44" t="n">
        <f aca="false">(D32+D33)*Assumptions!$G$19</f>
        <v>779372</v>
      </c>
      <c r="E34" s="44" t="n">
        <f aca="false">(E32+E33)*Assumptions!$G$19</f>
        <v>862426.4</v>
      </c>
      <c r="F34" s="44" t="n">
        <f aca="false">(F32+F33)*Assumptions!$G$19</f>
        <v>962091.68</v>
      </c>
    </row>
    <row r="35" customFormat="false" ht="15" hidden="false" customHeight="false" outlineLevel="0" collapsed="false">
      <c r="A35" s="41" t="s">
        <v>207</v>
      </c>
      <c r="B35" s="46" t="n">
        <f aca="false">B32+B33+B34</f>
        <v>3355000</v>
      </c>
      <c r="C35" s="46" t="n">
        <f aca="false">C32+C33+C34</f>
        <v>3938160</v>
      </c>
      <c r="D35" s="46" t="n">
        <f aca="false">D32+D33+D34</f>
        <v>4321972</v>
      </c>
      <c r="E35" s="46" t="n">
        <f aca="false">E32+E33+E34</f>
        <v>4782546.4</v>
      </c>
      <c r="F35" s="46" t="n">
        <f aca="false">F32+F33+F34</f>
        <v>5335235.68</v>
      </c>
    </row>
    <row r="36" customFormat="false" ht="15" hidden="false" customHeight="false" outlineLevel="0" collapsed="false">
      <c r="A36" s="41" t="s">
        <v>208</v>
      </c>
      <c r="B36" s="46" t="n">
        <f aca="false">B25-B35</f>
        <v>-2441476</v>
      </c>
      <c r="C36" s="46" t="n">
        <f aca="false">C25-C35</f>
        <v>-2446070.8</v>
      </c>
      <c r="D36" s="46" t="n">
        <f aca="false">D25-D35</f>
        <v>-2567275.1008</v>
      </c>
      <c r="E36" s="46" t="n">
        <f aca="false">E25-E35</f>
        <v>-2719022.8465408</v>
      </c>
      <c r="F36" s="46" t="n">
        <f aca="false">F25-F35</f>
        <v>-2908531.98113198</v>
      </c>
    </row>
    <row r="37" customFormat="false" ht="15" hidden="false" customHeight="false" outlineLevel="0" collapsed="false">
      <c r="A37" s="37" t="s">
        <v>209</v>
      </c>
      <c r="B37" s="38"/>
      <c r="C37" s="38"/>
      <c r="D37" s="38"/>
      <c r="E37" s="38"/>
      <c r="F37" s="38"/>
    </row>
    <row r="38" customFormat="false" ht="15" hidden="false" customHeight="false" outlineLevel="0" collapsed="false">
      <c r="A38" s="15" t="s">
        <v>210</v>
      </c>
      <c r="B38" s="45" t="n">
        <f aca="false">B21/MAX(1,B13)</f>
        <v>931900</v>
      </c>
      <c r="C38" s="45" t="n">
        <f aca="false">C21/MAX(1,C13)</f>
        <v>913262</v>
      </c>
      <c r="D38" s="45" t="n">
        <f aca="false">D21/MAX(1,D13)</f>
        <v>894996.76</v>
      </c>
      <c r="E38" s="45" t="n">
        <f aca="false">E21/MAX(1,E13)</f>
        <v>877096.8248</v>
      </c>
      <c r="F38" s="45" t="n">
        <f aca="false">F21/MAX(1,F13)</f>
        <v>859554.888304</v>
      </c>
    </row>
    <row r="39" customFormat="false" ht="15" hidden="false" customHeight="false" outlineLevel="0" collapsed="false">
      <c r="A39" s="15" t="s">
        <v>211</v>
      </c>
      <c r="B39" s="45" t="n">
        <f aca="false">B25/MAX(1,B13)</f>
        <v>152254</v>
      </c>
      <c r="C39" s="45" t="n">
        <f aca="false">C25/MAX(1,C13)</f>
        <v>149208.92</v>
      </c>
      <c r="D39" s="45" t="n">
        <f aca="false">D25/MAX(1,D13)</f>
        <v>146224.7416</v>
      </c>
      <c r="E39" s="45" t="n">
        <f aca="false">E25/MAX(1,E13)</f>
        <v>143300.246768</v>
      </c>
      <c r="F39" s="45" t="n">
        <f aca="false">F25/MAX(1,F13)</f>
        <v>140434.24183264</v>
      </c>
    </row>
    <row r="40" customFormat="false" ht="15" hidden="false" customHeight="false" outlineLevel="0" collapsed="false">
      <c r="A40" s="15" t="s">
        <v>212</v>
      </c>
      <c r="B40" s="45" t="n">
        <f aca="false">B35/MAX(1,B13)</f>
        <v>559166.666666667</v>
      </c>
      <c r="C40" s="45" t="n">
        <f aca="false">C35/MAX(1,C13)</f>
        <v>393816</v>
      </c>
      <c r="D40" s="45" t="n">
        <f aca="false">D35/MAX(1,D13)</f>
        <v>360164.333333333</v>
      </c>
      <c r="E40" s="45" t="n">
        <f aca="false">E35/MAX(1,E13)</f>
        <v>332121.277777778</v>
      </c>
      <c r="F40" s="45" t="n">
        <f aca="false">F35/MAX(1,F13)</f>
        <v>308752.064814815</v>
      </c>
    </row>
    <row r="41" customFormat="false" ht="15" hidden="false" customHeight="false" outlineLevel="0" collapsed="false">
      <c r="A41" s="41" t="s">
        <v>213</v>
      </c>
      <c r="B41" s="46" t="n">
        <f aca="false">B36/MAX(1,B13)</f>
        <v>-406912.666666667</v>
      </c>
      <c r="C41" s="46" t="n">
        <f aca="false">C36/MAX(1,C13)</f>
        <v>-244607.08</v>
      </c>
      <c r="D41" s="46" t="n">
        <f aca="false">D36/MAX(1,D13)</f>
        <v>-213939.591733333</v>
      </c>
      <c r="E41" s="46" t="n">
        <f aca="false">E36/MAX(1,E13)</f>
        <v>-188821.031009778</v>
      </c>
      <c r="F41" s="46" t="n">
        <f aca="false">F36/MAX(1,F13)</f>
        <v>-168317.822982175</v>
      </c>
    </row>
    <row r="42" customFormat="false" ht="15" hidden="false" customHeight="false" outlineLevel="0" collapsed="false">
      <c r="A42" s="37" t="s">
        <v>214</v>
      </c>
      <c r="B42" s="38"/>
      <c r="C42" s="38"/>
      <c r="D42" s="38"/>
      <c r="E42" s="38"/>
      <c r="F42" s="38"/>
    </row>
    <row r="43" customFormat="false" ht="15" hidden="false" customHeight="false" outlineLevel="0" collapsed="false">
      <c r="A43" s="15" t="s">
        <v>215</v>
      </c>
      <c r="B43" s="44" t="n">
        <f aca="false">B21*Assumptions!$G$20/365</f>
        <v>689350.684931507</v>
      </c>
      <c r="C43" s="44" t="n">
        <f aca="false">C21*Assumptions!$G$20/365</f>
        <v>1125939.45205479</v>
      </c>
      <c r="D43" s="44" t="n">
        <f aca="false">D21*Assumptions!$G$20/365</f>
        <v>1324104.79561644</v>
      </c>
      <c r="E43" s="44" t="n">
        <f aca="false">E21*Assumptions!$G$20/365</f>
        <v>1557147.23964493</v>
      </c>
      <c r="F43" s="44" t="n">
        <f aca="false">F21*Assumptions!$G$20/365</f>
        <v>1831205.15382244</v>
      </c>
    </row>
    <row r="44" customFormat="false" ht="15" hidden="false" customHeight="false" outlineLevel="0" collapsed="false">
      <c r="A44" s="15" t="s">
        <v>216</v>
      </c>
      <c r="B44" s="45" t="n">
        <f aca="false">B43</f>
        <v>689350.684931507</v>
      </c>
      <c r="C44" s="45" t="n">
        <f aca="false">C43-B43</f>
        <v>436588.767123287</v>
      </c>
      <c r="D44" s="45" t="n">
        <f aca="false">D43-C43</f>
        <v>198165.343561644</v>
      </c>
      <c r="E44" s="45" t="n">
        <f aca="false">E43-D43</f>
        <v>233042.444028493</v>
      </c>
      <c r="F44" s="45" t="n">
        <f aca="false">F43-E43</f>
        <v>274057.914177508</v>
      </c>
    </row>
    <row r="45" customFormat="false" ht="15" hidden="false" customHeight="false" outlineLevel="0" collapsed="false">
      <c r="A45" s="15" t="s">
        <v>217</v>
      </c>
      <c r="B45" s="44" t="n">
        <f aca="false">Assumptions!$G$22*Assumptions!$G$23</f>
        <v>450000</v>
      </c>
      <c r="C45" s="44" t="n">
        <f aca="false">Assumptions!$G$22*Assumptions!$G$23</f>
        <v>450000</v>
      </c>
      <c r="D45" s="44" t="n">
        <f aca="false">Assumptions!$G$22*Assumptions!$G$23</f>
        <v>450000</v>
      </c>
      <c r="E45" s="44" t="n">
        <f aca="false">Assumptions!$G$22*Assumptions!$G$23</f>
        <v>450000</v>
      </c>
      <c r="F45" s="44" t="n">
        <f aca="false">Assumptions!$G$22*Assumptions!$G$23</f>
        <v>450000</v>
      </c>
    </row>
    <row r="46" customFormat="false" ht="15" hidden="false" customHeight="false" outlineLevel="0" collapsed="false">
      <c r="A46" s="41" t="s">
        <v>218</v>
      </c>
      <c r="B46" s="46" t="n">
        <f aca="false">B36-B45-B44</f>
        <v>-3580826.68493151</v>
      </c>
      <c r="C46" s="46" t="n">
        <f aca="false">C36-C45-C44</f>
        <v>-3332659.56712329</v>
      </c>
      <c r="D46" s="46" t="n">
        <f aca="false">D36-D45-D44</f>
        <v>-3215440.44436164</v>
      </c>
      <c r="E46" s="46" t="n">
        <f aca="false">E36-E45-E44</f>
        <v>-3402065.29056929</v>
      </c>
      <c r="F46" s="46" t="n">
        <f aca="false">F36-F45-F44</f>
        <v>-3632589.89530949</v>
      </c>
    </row>
    <row r="47" customFormat="false" ht="15" hidden="false" customHeight="false" outlineLevel="0" collapsed="false">
      <c r="A47" s="15" t="s">
        <v>219</v>
      </c>
      <c r="B47" s="44" t="n">
        <f aca="false">Assumptions!$G$24</f>
        <v>4000000</v>
      </c>
      <c r="C47" s="45" t="n">
        <f aca="false">B48</f>
        <v>419173.315068493</v>
      </c>
      <c r="D47" s="45" t="n">
        <f aca="false">C48</f>
        <v>-2913486.25205479</v>
      </c>
      <c r="E47" s="45" t="n">
        <f aca="false">D48</f>
        <v>-6128926.69641644</v>
      </c>
      <c r="F47" s="45" t="n">
        <f aca="false">E48</f>
        <v>-9530991.98698573</v>
      </c>
    </row>
    <row r="48" customFormat="false" ht="15" hidden="false" customHeight="false" outlineLevel="0" collapsed="false">
      <c r="A48" s="41" t="s">
        <v>220</v>
      </c>
      <c r="B48" s="46" t="n">
        <f aca="false">B47+B46</f>
        <v>419173.315068493</v>
      </c>
      <c r="C48" s="46" t="n">
        <f aca="false">C47+C46</f>
        <v>-2913486.25205479</v>
      </c>
      <c r="D48" s="46" t="n">
        <f aca="false">D47+D46</f>
        <v>-6128926.69641644</v>
      </c>
      <c r="E48" s="46" t="n">
        <f aca="false">E47+E46</f>
        <v>-9530991.98698573</v>
      </c>
      <c r="F48" s="46" t="n">
        <f aca="false">F47+F46</f>
        <v>-13163581.8822952</v>
      </c>
    </row>
    <row r="49" customFormat="false" ht="15" hidden="false" customHeight="false" outlineLevel="0" collapsed="false">
      <c r="A49" s="41" t="s">
        <v>221</v>
      </c>
      <c r="B49" s="46" t="n">
        <f aca="false">MAX(0,0-B48)</f>
        <v>0</v>
      </c>
      <c r="C49" s="46" t="n">
        <f aca="false">MAX(0,0-C48)</f>
        <v>2913486.25205479</v>
      </c>
      <c r="D49" s="46" t="n">
        <f aca="false">MAX(0,0-D48)</f>
        <v>6128926.69641644</v>
      </c>
      <c r="E49" s="46" t="n">
        <f aca="false">MAX(0,0-E48)</f>
        <v>9530991.98698573</v>
      </c>
      <c r="F49" s="46" t="n">
        <f aca="false">MAX(0,0-F48)</f>
        <v>13163581.8822952</v>
      </c>
    </row>
    <row r="50" customFormat="false" ht="15" hidden="false" customHeight="false" outlineLevel="0" collapsed="false">
      <c r="A50" s="15" t="s">
        <v>222</v>
      </c>
      <c r="B50" s="45" t="n">
        <f aca="false">MAX(0,0-B46)/12</f>
        <v>298402.223744292</v>
      </c>
      <c r="C50" s="45" t="n">
        <f aca="false">MAX(0,0-C46)/12</f>
        <v>277721.630593607</v>
      </c>
      <c r="D50" s="45" t="n">
        <f aca="false">MAX(0,0-D46)/12</f>
        <v>267953.37036347</v>
      </c>
      <c r="E50" s="45" t="n">
        <f aca="false">MAX(0,0-E46)/12</f>
        <v>283505.440880774</v>
      </c>
      <c r="F50" s="45" t="n">
        <f aca="false">MAX(0,0-F46)/12</f>
        <v>302715.824609124</v>
      </c>
    </row>
    <row r="51" customFormat="false" ht="15" hidden="false" customHeight="false" outlineLevel="0" collapsed="false">
      <c r="A51" s="15" t="s">
        <v>223</v>
      </c>
      <c r="B51" s="40" t="n">
        <f aca="false">MIN(120,MAX(0,B48)/MAX(1,B50))</f>
        <v>1.40472584221655</v>
      </c>
      <c r="C51" s="40" t="n">
        <f aca="false">MIN(120,MAX(0,C48)/MAX(1,C50))</f>
        <v>0</v>
      </c>
      <c r="D51" s="40" t="n">
        <f aca="false">MIN(120,MAX(0,D48)/MAX(1,D50))</f>
        <v>0</v>
      </c>
      <c r="E51" s="40" t="n">
        <f aca="false">MIN(120,MAX(0,E48)/MAX(1,E50))</f>
        <v>0</v>
      </c>
      <c r="F51" s="40" t="n">
        <f aca="false">MIN(120,MAX(0,F48)/MAX(1,F50))</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9" min="2" style="0" width="15"/>
  </cols>
  <sheetData>
    <row r="1" customFormat="false" ht="16.15" hidden="false" customHeight="false" outlineLevel="0" collapsed="false">
      <c r="A1" s="14" t="s">
        <v>224</v>
      </c>
    </row>
    <row r="2" customFormat="false" ht="15" hidden="false" customHeight="false" outlineLevel="0" collapsed="false">
      <c r="A2" s="48" t="s">
        <v>225</v>
      </c>
    </row>
    <row r="4" customFormat="false" ht="15" hidden="false" customHeight="false" outlineLevel="0" collapsed="false">
      <c r="A4" s="17" t="s">
        <v>226</v>
      </c>
    </row>
    <row r="5" customFormat="false" ht="15" hidden="false" customHeight="false" outlineLevel="0" collapsed="false">
      <c r="A5" s="20" t="s">
        <v>227</v>
      </c>
    </row>
    <row r="6" customFormat="false" ht="15" hidden="false" customHeight="false" outlineLevel="0" collapsed="false">
      <c r="A6" s="21" t="s">
        <v>63</v>
      </c>
      <c r="B6" s="21" t="s">
        <v>228</v>
      </c>
      <c r="C6" s="21" t="s">
        <v>229</v>
      </c>
      <c r="D6" s="21" t="s">
        <v>230</v>
      </c>
      <c r="E6" s="21" t="s">
        <v>231</v>
      </c>
      <c r="F6" s="21" t="s">
        <v>232</v>
      </c>
      <c r="G6" s="21" t="s">
        <v>68</v>
      </c>
    </row>
    <row r="7" customFormat="false" ht="15" hidden="false" customHeight="false" outlineLevel="0" collapsed="false">
      <c r="A7" s="49" t="s">
        <v>160</v>
      </c>
      <c r="B7" s="50" t="n">
        <v>-18551492.28</v>
      </c>
      <c r="C7" s="50" t="n">
        <v>-13163581.88</v>
      </c>
      <c r="D7" s="50" t="n">
        <v>-10469626.68</v>
      </c>
      <c r="E7" s="51" t="n">
        <v>8081865.6</v>
      </c>
      <c r="F7" s="52" t="n">
        <v>1</v>
      </c>
      <c r="G7" s="53" t="s">
        <v>52</v>
      </c>
    </row>
    <row r="8" customFormat="false" ht="15" hidden="false" customHeight="false" outlineLevel="0" collapsed="false">
      <c r="A8" s="23" t="s">
        <v>113</v>
      </c>
      <c r="B8" s="54" t="n">
        <v>-17563450.6</v>
      </c>
      <c r="C8" s="54" t="n">
        <v>-13163581.88</v>
      </c>
      <c r="D8" s="54" t="n">
        <v>-9643686.9</v>
      </c>
      <c r="E8" s="34" t="n">
        <v>7919763.7</v>
      </c>
      <c r="F8" s="29" t="n">
        <v>0.97994251485898</v>
      </c>
      <c r="G8" s="26" t="s">
        <v>50</v>
      </c>
    </row>
    <row r="9" customFormat="false" ht="15" hidden="false" customHeight="false" outlineLevel="0" collapsed="false">
      <c r="A9" s="49" t="s">
        <v>151</v>
      </c>
      <c r="B9" s="50" t="n">
        <v>-15663581.88</v>
      </c>
      <c r="C9" s="50" t="n">
        <v>-13163581.88</v>
      </c>
      <c r="D9" s="50" t="n">
        <v>-8163581.88</v>
      </c>
      <c r="E9" s="51" t="n">
        <v>7500000</v>
      </c>
      <c r="F9" s="52" t="n">
        <v>0.928003554030891</v>
      </c>
      <c r="G9" s="53" t="s">
        <v>52</v>
      </c>
    </row>
    <row r="10" customFormat="false" ht="15" hidden="false" customHeight="false" outlineLevel="0" collapsed="false">
      <c r="A10" s="49" t="s">
        <v>77</v>
      </c>
      <c r="B10" s="50" t="n">
        <v>-10467769.56</v>
      </c>
      <c r="C10" s="50" t="n">
        <v>-13163581.88</v>
      </c>
      <c r="D10" s="50" t="n">
        <v>-15226564.02</v>
      </c>
      <c r="E10" s="51" t="n">
        <v>4758794.46</v>
      </c>
      <c r="F10" s="52" t="n">
        <v>0.588823756377812</v>
      </c>
      <c r="G10" s="53" t="s">
        <v>52</v>
      </c>
    </row>
    <row r="11" customFormat="false" ht="15" hidden="false" customHeight="false" outlineLevel="0" collapsed="false">
      <c r="A11" s="23" t="s">
        <v>155</v>
      </c>
      <c r="B11" s="54" t="n">
        <v>-15420581.88</v>
      </c>
      <c r="C11" s="54" t="n">
        <v>-13163581.88</v>
      </c>
      <c r="D11" s="54" t="n">
        <v>-10906581.88</v>
      </c>
      <c r="E11" s="34" t="n">
        <v>4514000</v>
      </c>
      <c r="F11" s="29" t="n">
        <v>0.558534405719392</v>
      </c>
      <c r="G11" s="26" t="s">
        <v>48</v>
      </c>
    </row>
    <row r="12" customFormat="false" ht="15" hidden="false" customHeight="false" outlineLevel="0" collapsed="false">
      <c r="A12" s="49" t="s">
        <v>142</v>
      </c>
      <c r="B12" s="50" t="n">
        <v>-10913581.88</v>
      </c>
      <c r="C12" s="50" t="n">
        <v>-13163581.88</v>
      </c>
      <c r="D12" s="50" t="n">
        <v>-15413581.88</v>
      </c>
      <c r="E12" s="51" t="n">
        <v>4500000</v>
      </c>
      <c r="F12" s="52" t="n">
        <v>0.556802132418535</v>
      </c>
      <c r="G12" s="53" t="s">
        <v>52</v>
      </c>
    </row>
    <row r="13" customFormat="false" ht="15" hidden="false" customHeight="false" outlineLevel="0" collapsed="false">
      <c r="A13" s="23" t="s">
        <v>168</v>
      </c>
      <c r="B13" s="54" t="n">
        <v>-15614844.92</v>
      </c>
      <c r="C13" s="54" t="n">
        <v>-13163581.88</v>
      </c>
      <c r="D13" s="54" t="n">
        <v>-11529406.52</v>
      </c>
      <c r="E13" s="34" t="n">
        <v>4085438.4</v>
      </c>
      <c r="F13" s="29" t="n">
        <v>0.505506847329903</v>
      </c>
      <c r="G13" s="26" t="s">
        <v>48</v>
      </c>
    </row>
    <row r="14" customFormat="false" ht="15" hidden="false" customHeight="false" outlineLevel="0" collapsed="false">
      <c r="A14" s="23" t="s">
        <v>72</v>
      </c>
      <c r="B14" s="54" t="n">
        <v>-11268142.18</v>
      </c>
      <c r="C14" s="54" t="n">
        <v>-13163581.88</v>
      </c>
      <c r="D14" s="54" t="n">
        <v>-15059021.59</v>
      </c>
      <c r="E14" s="34" t="n">
        <v>3790879.41</v>
      </c>
      <c r="F14" s="29" t="n">
        <v>0.469059942264001</v>
      </c>
      <c r="G14" s="26" t="s">
        <v>48</v>
      </c>
    </row>
    <row r="15" customFormat="false" ht="15" hidden="false" customHeight="false" outlineLevel="0" collapsed="false">
      <c r="A15" s="49" t="s">
        <v>91</v>
      </c>
      <c r="B15" s="50" t="n">
        <v>-14948878.1</v>
      </c>
      <c r="C15" s="50" t="n">
        <v>-13163581.88</v>
      </c>
      <c r="D15" s="50" t="n">
        <v>-11735344.91</v>
      </c>
      <c r="E15" s="51" t="n">
        <v>3213533.19</v>
      </c>
      <c r="F15" s="52" t="n">
        <v>0.397622695933398</v>
      </c>
      <c r="G15" s="53" t="s">
        <v>52</v>
      </c>
    </row>
    <row r="16" customFormat="false" ht="15" hidden="false" customHeight="false" outlineLevel="0" collapsed="false">
      <c r="A16" s="23" t="s">
        <v>121</v>
      </c>
      <c r="B16" s="54" t="n">
        <v>-14745677.88</v>
      </c>
      <c r="C16" s="54" t="n">
        <v>-13163581.88</v>
      </c>
      <c r="D16" s="54" t="n">
        <v>-11581485.88</v>
      </c>
      <c r="E16" s="34" t="n">
        <v>3164192</v>
      </c>
      <c r="F16" s="29" t="n">
        <v>0.391517522884815</v>
      </c>
      <c r="G16" s="26" t="s">
        <v>50</v>
      </c>
    </row>
    <row r="17" customFormat="false" ht="15" hidden="false" customHeight="false" outlineLevel="0" collapsed="false">
      <c r="A17" s="23" t="s">
        <v>125</v>
      </c>
      <c r="B17" s="54" t="n">
        <v>-14741032.12</v>
      </c>
      <c r="C17" s="54" t="n">
        <v>-13163581.88</v>
      </c>
      <c r="D17" s="54" t="n">
        <v>-12059366.71</v>
      </c>
      <c r="E17" s="34" t="n">
        <v>2681665.41</v>
      </c>
      <c r="F17" s="29" t="n">
        <v>0.331812670579426</v>
      </c>
      <c r="G17" s="26" t="s">
        <v>50</v>
      </c>
    </row>
    <row r="18" customFormat="false" ht="15" hidden="false" customHeight="false" outlineLevel="0" collapsed="false">
      <c r="A18" s="23" t="s">
        <v>129</v>
      </c>
      <c r="B18" s="54" t="n">
        <v>-14588691</v>
      </c>
      <c r="C18" s="54" t="n">
        <v>-13163581.88</v>
      </c>
      <c r="D18" s="54" t="n">
        <v>-11916611.4</v>
      </c>
      <c r="E18" s="34" t="n">
        <v>2672079.6</v>
      </c>
      <c r="F18" s="29" t="n">
        <v>0.330626582060459</v>
      </c>
      <c r="G18" s="26" t="s">
        <v>50</v>
      </c>
    </row>
    <row r="19" customFormat="false" ht="15" hidden="false" customHeight="false" outlineLevel="0" collapsed="false">
      <c r="A19" s="23" t="s">
        <v>104</v>
      </c>
      <c r="B19" s="54" t="n">
        <v>-14166868.42</v>
      </c>
      <c r="C19" s="54" t="n">
        <v>-13163581.88</v>
      </c>
      <c r="D19" s="54" t="n">
        <v>-11658652.07</v>
      </c>
      <c r="E19" s="34" t="n">
        <v>2508216.35</v>
      </c>
      <c r="F19" s="29" t="n">
        <v>0.31035115783626</v>
      </c>
      <c r="G19" s="26" t="s">
        <v>48</v>
      </c>
    </row>
    <row r="20" customFormat="false" ht="15" hidden="false" customHeight="false" outlineLevel="0" collapsed="false">
      <c r="A20" s="49" t="s">
        <v>133</v>
      </c>
      <c r="B20" s="50" t="n">
        <v>-14384385.32</v>
      </c>
      <c r="C20" s="50" t="n">
        <v>-13163581.88</v>
      </c>
      <c r="D20" s="50" t="n">
        <v>-12146245.69</v>
      </c>
      <c r="E20" s="51" t="n">
        <v>2238139.63</v>
      </c>
      <c r="F20" s="52" t="n">
        <v>0.276933537777422</v>
      </c>
      <c r="G20" s="53" t="s">
        <v>52</v>
      </c>
    </row>
    <row r="21" customFormat="false" ht="15" hidden="false" customHeight="false" outlineLevel="0" collapsed="false">
      <c r="A21" s="49" t="s">
        <v>100</v>
      </c>
      <c r="B21" s="50" t="n">
        <v>-14326899.45</v>
      </c>
      <c r="C21" s="50" t="n">
        <v>-13163581.88</v>
      </c>
      <c r="D21" s="50" t="n">
        <v>-12268722.22</v>
      </c>
      <c r="E21" s="51" t="n">
        <v>2058177.23</v>
      </c>
      <c r="F21" s="52" t="n">
        <v>0.254666104229558</v>
      </c>
      <c r="G21" s="53" t="s">
        <v>52</v>
      </c>
    </row>
    <row r="22" customFormat="false" ht="15" hidden="false" customHeight="false" outlineLevel="0" collapsed="false">
      <c r="A22" s="49" t="s">
        <v>147</v>
      </c>
      <c r="B22" s="50" t="n">
        <v>-14413581.88</v>
      </c>
      <c r="C22" s="50" t="n">
        <v>-13163581.88</v>
      </c>
      <c r="D22" s="50" t="n">
        <v>-12413581.88</v>
      </c>
      <c r="E22" s="51" t="n">
        <v>2000000</v>
      </c>
      <c r="F22" s="52" t="n">
        <v>0.247467614408238</v>
      </c>
      <c r="G22" s="53" t="s">
        <v>52</v>
      </c>
    </row>
    <row r="23" customFormat="false" ht="15" hidden="false" customHeight="false" outlineLevel="0" collapsed="false">
      <c r="A23" s="23" t="s">
        <v>109</v>
      </c>
      <c r="B23" s="54" t="n">
        <v>-13853341.38</v>
      </c>
      <c r="C23" s="54" t="n">
        <v>-13163581.88</v>
      </c>
      <c r="D23" s="54" t="n">
        <v>-12646262.26</v>
      </c>
      <c r="E23" s="34" t="n">
        <v>1207079.12</v>
      </c>
      <c r="F23" s="29" t="n">
        <v>0.149356494708701</v>
      </c>
      <c r="G23" s="26" t="s">
        <v>48</v>
      </c>
    </row>
    <row r="24" customFormat="false" ht="15" hidden="false" customHeight="false" outlineLevel="0" collapsed="false">
      <c r="A24" s="49" t="s">
        <v>117</v>
      </c>
      <c r="B24" s="50" t="n">
        <v>-13698736.19</v>
      </c>
      <c r="C24" s="50" t="n">
        <v>-13163581.88</v>
      </c>
      <c r="D24" s="50" t="n">
        <v>-12590046.07</v>
      </c>
      <c r="E24" s="51" t="n">
        <v>1108690.12</v>
      </c>
      <c r="F24" s="52" t="n">
        <v>0.13718244934814</v>
      </c>
      <c r="G24" s="53" t="s">
        <v>52</v>
      </c>
    </row>
    <row r="25" customFormat="false" ht="15" hidden="false" customHeight="false" outlineLevel="0" collapsed="false">
      <c r="A25" s="23" t="s">
        <v>164</v>
      </c>
      <c r="B25" s="54" t="n">
        <v>-13712581.88</v>
      </c>
      <c r="C25" s="54" t="n">
        <v>-13163581.88</v>
      </c>
      <c r="D25" s="54" t="n">
        <v>-12614581.88</v>
      </c>
      <c r="E25" s="34" t="n">
        <v>1098000</v>
      </c>
      <c r="F25" s="29" t="n">
        <v>0.135859720310122</v>
      </c>
      <c r="G25" s="26" t="s">
        <v>48</v>
      </c>
    </row>
    <row r="26" customFormat="false" ht="15" hidden="false" customHeight="false" outlineLevel="0" collapsed="false">
      <c r="A26" s="23" t="s">
        <v>95</v>
      </c>
      <c r="B26" s="54" t="n">
        <v>-13349475.63</v>
      </c>
      <c r="C26" s="54" t="n">
        <v>-13163581.88</v>
      </c>
      <c r="D26" s="54" t="n">
        <v>-12977688.13</v>
      </c>
      <c r="E26" s="34" t="n">
        <v>371787.5</v>
      </c>
      <c r="F26" s="29" t="n">
        <v>0.04600268233482</v>
      </c>
      <c r="G26" s="26" t="s">
        <v>48</v>
      </c>
    </row>
    <row r="27" customFormat="false" ht="15" hidden="false" customHeight="false" outlineLevel="0" collapsed="false">
      <c r="A27" s="49" t="s">
        <v>86</v>
      </c>
      <c r="B27" s="50" t="n">
        <v>-13281793.88</v>
      </c>
      <c r="C27" s="50" t="n">
        <v>-13163581.88</v>
      </c>
      <c r="D27" s="50" t="n">
        <v>-12927157.88</v>
      </c>
      <c r="E27" s="51" t="n">
        <v>354636</v>
      </c>
      <c r="F27" s="52" t="n">
        <v>0.0438804624516403</v>
      </c>
      <c r="G27" s="53" t="s">
        <v>52</v>
      </c>
    </row>
    <row r="28" customFormat="false" ht="15" hidden="false" customHeight="false" outlineLevel="0" collapsed="false">
      <c r="A28" s="23" t="s">
        <v>82</v>
      </c>
      <c r="B28" s="54" t="n">
        <v>-13084552.39</v>
      </c>
      <c r="C28" s="54" t="n">
        <v>-13163581.88</v>
      </c>
      <c r="D28" s="54" t="n">
        <v>-13254769.76</v>
      </c>
      <c r="E28" s="34" t="n">
        <v>170217.38</v>
      </c>
      <c r="F28" s="29" t="n">
        <v>0.0210616443028511</v>
      </c>
      <c r="G28" s="26" t="s">
        <v>48</v>
      </c>
    </row>
    <row r="29" customFormat="false" ht="15" hidden="false" customHeight="false" outlineLevel="0" collapsed="false">
      <c r="A29" s="49" t="s">
        <v>138</v>
      </c>
      <c r="B29" s="50" t="n">
        <v>-13163581.88</v>
      </c>
      <c r="C29" s="50" t="n">
        <v>-13163581.88</v>
      </c>
      <c r="D29" s="50" t="n">
        <v>-13163581.88</v>
      </c>
      <c r="E29" s="51" t="n">
        <v>0</v>
      </c>
      <c r="F29" s="52" t="n">
        <v>0</v>
      </c>
      <c r="G29" s="53" t="s">
        <v>52</v>
      </c>
    </row>
    <row r="31" customFormat="false" ht="15" hidden="false" customHeight="false" outlineLevel="0" collapsed="false">
      <c r="A31" s="17" t="s">
        <v>233</v>
      </c>
    </row>
    <row r="32" customFormat="false" ht="15" hidden="false" customHeight="false" outlineLevel="0" collapsed="false">
      <c r="A32" s="55" t="s">
        <v>234</v>
      </c>
    </row>
    <row r="35" customFormat="false" ht="15" hidden="false" customHeight="false" outlineLevel="0" collapsed="false">
      <c r="A35" s="17" t="s">
        <v>235</v>
      </c>
    </row>
    <row r="36" customFormat="false" ht="20.85" hidden="false" customHeight="false" outlineLevel="0" collapsed="false">
      <c r="A36" s="21" t="s">
        <v>236</v>
      </c>
      <c r="B36" s="56" t="n">
        <v>0.11</v>
      </c>
      <c r="C36" s="56" t="n">
        <v>0.14</v>
      </c>
      <c r="D36" s="56" t="n">
        <v>0.16</v>
      </c>
      <c r="E36" s="56" t="n">
        <v>0.18</v>
      </c>
      <c r="F36" s="56" t="n">
        <v>0.21</v>
      </c>
    </row>
    <row r="37" customFormat="false" ht="15" hidden="false" customHeight="false" outlineLevel="0" collapsed="false">
      <c r="A37" s="57" t="n">
        <v>0.17</v>
      </c>
      <c r="B37" s="58" t="n">
        <v>-14663251.99</v>
      </c>
      <c r="C37" s="58" t="n">
        <v>-13890619.97</v>
      </c>
      <c r="D37" s="58" t="n">
        <v>-13117987.94</v>
      </c>
      <c r="E37" s="58" t="n">
        <v>-12345355.92</v>
      </c>
      <c r="F37" s="58" t="n">
        <v>-11572723.89</v>
      </c>
    </row>
    <row r="38" customFormat="false" ht="15" hidden="false" customHeight="false" outlineLevel="0" collapsed="false">
      <c r="A38" s="57" t="n">
        <v>0.21</v>
      </c>
      <c r="B38" s="58" t="n">
        <v>-14969385.43</v>
      </c>
      <c r="C38" s="58" t="n">
        <v>-14055085.17</v>
      </c>
      <c r="D38" s="58" t="n">
        <v>-13140784.91</v>
      </c>
      <c r="E38" s="58" t="n">
        <v>-12226484.65</v>
      </c>
      <c r="F38" s="58" t="n">
        <v>-11312184.39</v>
      </c>
    </row>
    <row r="39" customFormat="false" ht="15" hidden="false" customHeight="false" outlineLevel="0" collapsed="false">
      <c r="A39" s="57" t="n">
        <v>0.25</v>
      </c>
      <c r="B39" s="58" t="n">
        <v>-15275518.87</v>
      </c>
      <c r="C39" s="58" t="n">
        <v>-14219550.38</v>
      </c>
      <c r="D39" s="58" t="n">
        <v>-13163581.88</v>
      </c>
      <c r="E39" s="58" t="n">
        <v>-12107613.39</v>
      </c>
      <c r="F39" s="58" t="n">
        <v>-11051644.9</v>
      </c>
    </row>
    <row r="40" customFormat="false" ht="15" hidden="false" customHeight="false" outlineLevel="0" collapsed="false">
      <c r="A40" s="57" t="n">
        <v>0.29</v>
      </c>
      <c r="B40" s="58" t="n">
        <v>-15581652.31</v>
      </c>
      <c r="C40" s="58" t="n">
        <v>-14384015.58</v>
      </c>
      <c r="D40" s="58" t="n">
        <v>-13186378.85</v>
      </c>
      <c r="E40" s="58" t="n">
        <v>-11988742.13</v>
      </c>
      <c r="F40" s="58" t="n">
        <v>-10791105.4</v>
      </c>
    </row>
    <row r="41" customFormat="false" ht="15" hidden="false" customHeight="false" outlineLevel="0" collapsed="false">
      <c r="A41" s="57" t="n">
        <v>0.33</v>
      </c>
      <c r="B41" s="58" t="n">
        <v>-15887785.75</v>
      </c>
      <c r="C41" s="58" t="n">
        <v>-14548480.78</v>
      </c>
      <c r="D41" s="58" t="n">
        <v>-13209175.82</v>
      </c>
      <c r="E41" s="58" t="n">
        <v>-11869870.86</v>
      </c>
      <c r="F41" s="58" t="n">
        <v>-10530565.9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8"/>
    <col collapsed="false" customWidth="true" hidden="false" outlineLevel="0" max="3" min="3" style="0" width="62"/>
  </cols>
  <sheetData>
    <row r="1" customFormat="false" ht="16.15" hidden="false" customHeight="false" outlineLevel="0" collapsed="false">
      <c r="A1" s="14" t="s">
        <v>237</v>
      </c>
    </row>
    <row r="2" customFormat="false" ht="15" hidden="false" customHeight="false" outlineLevel="0" collapsed="false">
      <c r="A2" s="20" t="s">
        <v>238</v>
      </c>
    </row>
    <row r="4" customFormat="false" ht="15" hidden="false" customHeight="false" outlineLevel="0" collapsed="false">
      <c r="A4" s="17" t="s">
        <v>239</v>
      </c>
    </row>
    <row r="5" customFormat="false" ht="15" hidden="false" customHeight="false" outlineLevel="0" collapsed="false">
      <c r="A5" s="15" t="s">
        <v>240</v>
      </c>
      <c r="B5" s="59" t="n">
        <v>20000000</v>
      </c>
      <c r="C5" s="60" t="s">
        <v>241</v>
      </c>
    </row>
    <row r="6" customFormat="false" ht="15" hidden="false" customHeight="false" outlineLevel="0" collapsed="false">
      <c r="A6" s="15" t="s">
        <v>242</v>
      </c>
      <c r="B6" s="59" t="n">
        <v>2000000</v>
      </c>
      <c r="C6" s="60" t="s">
        <v>243</v>
      </c>
    </row>
    <row r="7" customFormat="false" ht="15" hidden="false" customHeight="false" outlineLevel="0" collapsed="false">
      <c r="A7" s="15" t="s">
        <v>244</v>
      </c>
      <c r="B7" s="61" t="n">
        <f aca="false">B5+B6</f>
        <v>22000000</v>
      </c>
    </row>
    <row r="8" customFormat="false" ht="15" hidden="false" customHeight="false" outlineLevel="0" collapsed="false">
      <c r="A8" s="15" t="s">
        <v>245</v>
      </c>
      <c r="B8" s="62" t="n">
        <f aca="false">B6/B7</f>
        <v>0.0909090909090909</v>
      </c>
    </row>
    <row r="10" customFormat="false" ht="15" hidden="false" customHeight="false" outlineLevel="0" collapsed="false">
      <c r="A10" s="17" t="s">
        <v>246</v>
      </c>
    </row>
    <row r="11" customFormat="false" ht="15" hidden="false" customHeight="false" outlineLevel="0" collapsed="false">
      <c r="A11" s="15" t="s">
        <v>247</v>
      </c>
      <c r="B11" s="63" t="n">
        <v>0.22</v>
      </c>
      <c r="C11" s="60" t="s">
        <v>248</v>
      </c>
    </row>
    <row r="12" customFormat="false" ht="15" hidden="false" customHeight="false" outlineLevel="0" collapsed="false">
      <c r="A12" s="15" t="s">
        <v>249</v>
      </c>
      <c r="B12" s="64" t="n">
        <v>2</v>
      </c>
      <c r="C12" s="60" t="s">
        <v>250</v>
      </c>
    </row>
    <row r="13" customFormat="false" ht="19.4" hidden="false" customHeight="false" outlineLevel="0" collapsed="false">
      <c r="A13" s="18" t="s">
        <v>251</v>
      </c>
      <c r="B13" s="65" t="n">
        <f aca="false">B8*(1-B11)^B12</f>
        <v>0.0553090909090909</v>
      </c>
      <c r="C13" s="60" t="s">
        <v>252</v>
      </c>
    </row>
    <row r="15" customFormat="false" ht="15" hidden="false" customHeight="false" outlineLevel="0" collapsed="false">
      <c r="A15" s="17" t="s">
        <v>253</v>
      </c>
    </row>
    <row r="16" customFormat="false" ht="15" hidden="false" customHeight="false" outlineLevel="0" collapsed="false">
      <c r="A16" s="15" t="s">
        <v>254</v>
      </c>
      <c r="B16" s="45" t="n">
        <v>14853108.47</v>
      </c>
      <c r="C16" s="60" t="s">
        <v>255</v>
      </c>
    </row>
    <row r="17" customFormat="false" ht="15" hidden="false" customHeight="false" outlineLevel="0" collapsed="false">
      <c r="A17" s="15" t="s">
        <v>256</v>
      </c>
      <c r="B17" s="66" t="n">
        <v>1.2</v>
      </c>
      <c r="C17" s="60" t="s">
        <v>257</v>
      </c>
    </row>
    <row r="18" customFormat="false" ht="15" hidden="false" customHeight="false" outlineLevel="0" collapsed="false">
      <c r="A18" s="18" t="s">
        <v>258</v>
      </c>
      <c r="B18" s="67" t="n">
        <f aca="false">B16*B17</f>
        <v>17823730.164</v>
      </c>
    </row>
    <row r="19" customFormat="false" ht="15" hidden="false" customHeight="false" outlineLevel="0" collapsed="false">
      <c r="A19" s="15" t="s">
        <v>259</v>
      </c>
      <c r="B19" s="64" t="n">
        <v>5</v>
      </c>
    </row>
    <row r="21" customFormat="false" ht="15" hidden="false" customHeight="false" outlineLevel="0" collapsed="false">
      <c r="A21" s="17" t="s">
        <v>260</v>
      </c>
    </row>
    <row r="22" customFormat="false" ht="15" hidden="false" customHeight="false" outlineLevel="0" collapsed="false">
      <c r="A22" s="15" t="s">
        <v>261</v>
      </c>
      <c r="B22" s="66" t="n">
        <v>1</v>
      </c>
      <c r="C22" s="60" t="s">
        <v>262</v>
      </c>
    </row>
    <row r="23" customFormat="false" ht="15" hidden="false" customHeight="false" outlineLevel="0" collapsed="false">
      <c r="A23" s="15" t="s">
        <v>263</v>
      </c>
      <c r="B23" s="61" t="n">
        <f aca="false">B6*B22</f>
        <v>2000000</v>
      </c>
    </row>
    <row r="24" customFormat="false" ht="15" hidden="false" customHeight="false" outlineLevel="0" collapsed="false">
      <c r="A24" s="15" t="s">
        <v>264</v>
      </c>
      <c r="B24" s="61" t="n">
        <f aca="false">B18*B13</f>
        <v>985814.311979782</v>
      </c>
    </row>
    <row r="25" customFormat="false" ht="19.4" hidden="false" customHeight="false" outlineLevel="0" collapsed="false">
      <c r="A25" s="18" t="s">
        <v>265</v>
      </c>
      <c r="B25" s="68" t="n">
        <f aca="false">MAX(B23,B24)</f>
        <v>2000000</v>
      </c>
      <c r="C25" s="60" t="s">
        <v>266</v>
      </c>
    </row>
    <row r="27" customFormat="false" ht="15" hidden="false" customHeight="false" outlineLevel="0" collapsed="false">
      <c r="A27" s="17" t="s">
        <v>267</v>
      </c>
    </row>
    <row r="28" customFormat="false" ht="15" hidden="false" customHeight="false" outlineLevel="0" collapsed="false">
      <c r="A28" s="18" t="s">
        <v>268</v>
      </c>
      <c r="B28" s="69" t="n">
        <f aca="false">B25/B6</f>
        <v>1</v>
      </c>
    </row>
    <row r="29" customFormat="false" ht="15" hidden="false" customHeight="false" outlineLevel="0" collapsed="false">
      <c r="A29" s="18" t="s">
        <v>269</v>
      </c>
      <c r="B29" s="70" t="n">
        <f aca="false">IF(B28&lt;=0,-1,B28^(1/B19)-1)</f>
        <v>0</v>
      </c>
    </row>
    <row r="31" customFormat="false" ht="15" hidden="false" customHeight="false" outlineLevel="0" collapsed="false">
      <c r="A31" s="20" t="s">
        <v>270</v>
      </c>
    </row>
    <row r="34" customFormat="false" ht="15" hidden="false" customHeight="true" outlineLevel="0" collapsed="false">
      <c r="A34" s="71" t="s">
        <v>271</v>
      </c>
      <c r="B34" s="71"/>
      <c r="C34" s="71"/>
    </row>
    <row r="35" customFormat="false" ht="15" hidden="false" customHeight="false" outlineLevel="0" collapsed="false">
      <c r="A35" s="71"/>
      <c r="B35" s="71"/>
      <c r="C35" s="71"/>
    </row>
  </sheetData>
  <mergeCells count="1">
    <mergeCell ref="A34:C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2026-09-16T18:59:03Z</dcterms:created>
  <dc:creator>Ben Meyer</dc:creator>
  <dc:description>Scenario model built from the workup's assumption registry. Every driver carries a source and a confidence tier.</dc:description>
  <dc:language>en-US</dc:language>
  <cp:lastModifiedBy>Ben Meyer</cp:lastModifiedBy>
  <dcterms:modified xsi:type="dcterms:W3CDTF">2026-09-16T18:59:03Z</dcterms:modified>
  <cp:revision>0</cp:revision>
  <dc:subject/>
  <dc:title>Cosmic Buildings Inc. — driver-based model</dc:title>
</cp:coreProperties>
</file>

<file path=docProps/custom.xml><?xml version="1.0" encoding="utf-8"?>
<Properties xmlns="http://schemas.openxmlformats.org/officeDocument/2006/custom-properties" xmlns:vt="http://schemas.openxmlformats.org/officeDocument/2006/docPropsVTypes"/>
</file>